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M:\"/>
    </mc:Choice>
  </mc:AlternateContent>
  <xr:revisionPtr revIDLastSave="0" documentId="13_ncr:1_{B1ABCCED-000B-4962-B18F-B721DAC1D3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 для коробки" sheetId="1" r:id="rId1"/>
    <sheet name="Лист для паллеты" sheetId="2" r:id="rId2"/>
    <sheet name="Лист много видов" sheetId="3" r:id="rId3"/>
  </sheets>
  <definedNames>
    <definedName name="_xlnm.Print_Area" localSheetId="0">'Лист для коробки'!$A$1:$I$45</definedName>
    <definedName name="_xlnm.Print_Area" localSheetId="1">'Лист для паллеты'!$A$1:$I$45</definedName>
    <definedName name="_xlnm.Print_Area" localSheetId="2">'Лист много видов'!$A$1:$H$45</definedName>
  </definedNames>
  <calcPr calcId="181029"/>
</workbook>
</file>

<file path=xl/calcChain.xml><?xml version="1.0" encoding="utf-8"?>
<calcChain xmlns="http://schemas.openxmlformats.org/spreadsheetml/2006/main">
  <c r="G35" i="3" l="1"/>
  <c r="F33" i="3"/>
  <c r="F31" i="3"/>
  <c r="F29" i="3"/>
  <c r="B1" i="3"/>
  <c r="G35" i="2"/>
  <c r="F33" i="2"/>
  <c r="F31" i="2"/>
  <c r="F29" i="2"/>
  <c r="B1" i="2"/>
  <c r="G35" i="1"/>
  <c r="F33" i="1"/>
  <c r="F31" i="1"/>
  <c r="F29" i="1"/>
</calcChain>
</file>

<file path=xl/sharedStrings.xml><?xml version="1.0" encoding="utf-8"?>
<sst xmlns="http://schemas.openxmlformats.org/spreadsheetml/2006/main" count="65" uniqueCount="27">
  <si>
    <t>Вес коробки</t>
  </si>
  <si>
    <t>Заказчик</t>
  </si>
  <si>
    <t>Тип упаковки (коробка/поддон)</t>
  </si>
  <si>
    <t>Номер заказа(ов) /партии</t>
  </si>
  <si>
    <t>Наименование продукции</t>
  </si>
  <si>
    <t>№ ролика</t>
  </si>
  <si>
    <t>брутто, кг</t>
  </si>
  <si>
    <t>нетто, г</t>
  </si>
  <si>
    <t>Кол.эт.шт.</t>
  </si>
  <si>
    <t>нетто, кг</t>
  </si>
  <si>
    <t>Количество рулонов, шт.:</t>
  </si>
  <si>
    <t>Общая масса брутто (с уч. короба):</t>
  </si>
  <si>
    <t>кг</t>
  </si>
  <si>
    <t>Общая масса нетто:</t>
  </si>
  <si>
    <t>Общее количество этикеток, шт.:</t>
  </si>
  <si>
    <t>Дата упаковки:</t>
  </si>
  <si>
    <t>ТУ 9570-001-26604209-2014</t>
  </si>
  <si>
    <t>Упаковщик</t>
  </si>
  <si>
    <t xml:space="preserve">Не бросать </t>
  </si>
  <si>
    <t>Вес поддона</t>
  </si>
  <si>
    <t>№ коробки</t>
  </si>
  <si>
    <t>Количество коробок, шт.:</t>
  </si>
  <si>
    <t>Общая масса брутто (с поддоном):</t>
  </si>
  <si>
    <t>Кол-во коробок</t>
  </si>
  <si>
    <t>Название продукции</t>
  </si>
  <si>
    <t>Кол-во этикеток</t>
  </si>
  <si>
    <t>Общее количество коробок, шт.: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</si>
</sst>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;\-#;;@"/>
  </numFmts>
  <fonts count="20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22"/>
      <color theme="1"/>
      <name val="Calibri"/>
      <family val="2"/>
      <charset val="204"/>
      <scheme val="minor"/>
    </font>
    <font>
      <b/>
      <sz val="14"/>
      <name val="Arial Cyr"/>
    </font>
    <font>
      <sz val="10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Arial Cyr"/>
      <charset val="204"/>
    </font>
    <font>
      <sz val="11"/>
      <color rgb="FF000000"/>
      <name val="Calibri"/>
      <family val="2"/>
      <scheme val="minor"/>
    </font>
    <font>
      <b/>
      <sz val="20"/>
      <name val="Arial Cyr"/>
      <charset val="204"/>
    </font>
    <font>
      <sz val="1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5">
    <xf numFmtId="0" fontId="0" fillId="0" borderId="0"/>
    <xf numFmtId="0" fontId="7" fillId="0" borderId="0"/>
    <xf numFmtId="0" fontId="17" fillId="0" borderId="0"/>
    <xf numFmtId="0" fontId="7" fillId="0" borderId="0"/>
    <xf numFmtId="0" fontId="11" fillId="0" borderId="0"/>
  </cellStyleXfs>
  <cellXfs count="115">
    <xf numFmtId="0" fontId="0" fillId="0" borderId="0" xfId="0"/>
    <xf numFmtId="0" fontId="7" fillId="0" borderId="1" xfId="1" applyBorder="1"/>
    <xf numFmtId="0" fontId="7" fillId="0" borderId="2" xfId="1" applyBorder="1"/>
    <xf numFmtId="0" fontId="7" fillId="0" borderId="3" xfId="1" applyBorder="1"/>
    <xf numFmtId="0" fontId="7" fillId="0" borderId="0" xfId="1"/>
    <xf numFmtId="14" fontId="7" fillId="0" borderId="0" xfId="1" applyNumberFormat="1"/>
    <xf numFmtId="0" fontId="7" fillId="0" borderId="4" xfId="1" applyBorder="1"/>
    <xf numFmtId="0" fontId="7" fillId="0" borderId="5" xfId="1" applyBorder="1"/>
    <xf numFmtId="1" fontId="7" fillId="0" borderId="0" xfId="1" applyNumberFormat="1"/>
    <xf numFmtId="0" fontId="6" fillId="0" borderId="0" xfId="1" applyFont="1"/>
    <xf numFmtId="14" fontId="6" fillId="0" borderId="0" xfId="1" applyNumberFormat="1" applyFont="1"/>
    <xf numFmtId="1" fontId="6" fillId="0" borderId="0" xfId="1" applyNumberFormat="1" applyFont="1"/>
    <xf numFmtId="0" fontId="14" fillId="2" borderId="16" xfId="1" applyFont="1" applyFill="1" applyBorder="1"/>
    <xf numFmtId="0" fontId="14" fillId="2" borderId="6" xfId="1" applyFont="1" applyFill="1" applyBorder="1"/>
    <xf numFmtId="0" fontId="10" fillId="0" borderId="0" xfId="1" applyFont="1"/>
    <xf numFmtId="0" fontId="10" fillId="0" borderId="5" xfId="1" applyFont="1" applyBorder="1"/>
    <xf numFmtId="0" fontId="10" fillId="0" borderId="12" xfId="1" applyFont="1" applyBorder="1"/>
    <xf numFmtId="0" fontId="10" fillId="0" borderId="13" xfId="1" applyFont="1" applyBorder="1"/>
    <xf numFmtId="0" fontId="10" fillId="0" borderId="2" xfId="1" applyFont="1" applyBorder="1"/>
    <xf numFmtId="0" fontId="10" fillId="0" borderId="3" xfId="1" applyFont="1" applyBorder="1"/>
    <xf numFmtId="0" fontId="6" fillId="0" borderId="2" xfId="1" applyFont="1" applyBorder="1"/>
    <xf numFmtId="0" fontId="6" fillId="0" borderId="3" xfId="1" applyFont="1" applyBorder="1"/>
    <xf numFmtId="0" fontId="6" fillId="0" borderId="5" xfId="1" applyFont="1" applyBorder="1"/>
    <xf numFmtId="0" fontId="6" fillId="0" borderId="12" xfId="1" applyFont="1" applyBorder="1"/>
    <xf numFmtId="0" fontId="6" fillId="0" borderId="13" xfId="1" applyFont="1" applyBorder="1"/>
    <xf numFmtId="0" fontId="6" fillId="0" borderId="0" xfId="1" applyFont="1" applyAlignment="1">
      <alignment horizontal="left"/>
    </xf>
    <xf numFmtId="0" fontId="6" fillId="0" borderId="0" xfId="1" applyFont="1" applyAlignment="1">
      <alignment horizontal="left" vertical="center"/>
    </xf>
    <xf numFmtId="0" fontId="5" fillId="0" borderId="0" xfId="1" applyFont="1"/>
    <xf numFmtId="0" fontId="4" fillId="0" borderId="0" xfId="1" applyFont="1"/>
    <xf numFmtId="0" fontId="0" fillId="0" borderId="12" xfId="0" applyBorder="1"/>
    <xf numFmtId="0" fontId="0" fillId="0" borderId="2" xfId="0" applyBorder="1"/>
    <xf numFmtId="0" fontId="7" fillId="0" borderId="0" xfId="1" applyAlignment="1">
      <alignment vertical="center"/>
    </xf>
    <xf numFmtId="0" fontId="14" fillId="2" borderId="16" xfId="1" applyFont="1" applyFill="1" applyBorder="1" applyAlignment="1">
      <alignment horizontal="center" wrapText="1"/>
    </xf>
    <xf numFmtId="0" fontId="3" fillId="0" borderId="0" xfId="1" applyFont="1"/>
    <xf numFmtId="1" fontId="6" fillId="0" borderId="16" xfId="1" applyNumberFormat="1" applyFont="1" applyBorder="1" applyAlignment="1" applyProtection="1">
      <alignment vertical="center"/>
      <protection locked="0"/>
    </xf>
    <xf numFmtId="2" fontId="6" fillId="0" borderId="16" xfId="1" applyNumberFormat="1" applyFont="1" applyBorder="1" applyAlignment="1" applyProtection="1">
      <alignment vertical="center"/>
      <protection locked="0"/>
    </xf>
    <xf numFmtId="0" fontId="6" fillId="0" borderId="7" xfId="1" applyFont="1" applyBorder="1" applyProtection="1">
      <protection locked="0"/>
    </xf>
    <xf numFmtId="1" fontId="8" fillId="0" borderId="16" xfId="1" applyNumberFormat="1" applyFont="1" applyBorder="1" applyAlignment="1" applyProtection="1">
      <alignment vertical="center"/>
      <protection locked="0"/>
    </xf>
    <xf numFmtId="0" fontId="6" fillId="0" borderId="16" xfId="1" applyFont="1" applyBorder="1" applyProtection="1">
      <protection locked="0"/>
    </xf>
    <xf numFmtId="0" fontId="7" fillId="0" borderId="0" xfId="1" applyAlignment="1" applyProtection="1">
      <alignment vertical="center"/>
      <protection locked="0"/>
    </xf>
    <xf numFmtId="2" fontId="7" fillId="0" borderId="0" xfId="1" applyNumberFormat="1" applyAlignment="1" applyProtection="1">
      <alignment vertical="center"/>
      <protection locked="0"/>
    </xf>
    <xf numFmtId="0" fontId="8" fillId="0" borderId="14" xfId="1" applyFont="1" applyBorder="1" applyAlignment="1">
      <alignment horizontal="left"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2" fontId="10" fillId="0" borderId="33" xfId="1" applyNumberFormat="1" applyFont="1" applyBorder="1" applyAlignment="1">
      <alignment horizontal="center" vertical="center"/>
    </xf>
    <xf numFmtId="0" fontId="0" fillId="0" borderId="9" xfId="0" applyBorder="1"/>
    <xf numFmtId="0" fontId="0" fillId="0" borderId="12" xfId="0" applyBorder="1"/>
    <xf numFmtId="0" fontId="6" fillId="0" borderId="27" xfId="1" applyFont="1" applyBorder="1" applyAlignment="1" applyProtection="1">
      <alignment vertical="center"/>
      <protection locked="0"/>
    </xf>
    <xf numFmtId="0" fontId="0" fillId="0" borderId="28" xfId="0" applyBorder="1" applyProtection="1">
      <protection locked="0"/>
    </xf>
    <xf numFmtId="1" fontId="10" fillId="0" borderId="23" xfId="1" applyNumberFormat="1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1" xfId="0" applyBorder="1"/>
    <xf numFmtId="0" fontId="0" fillId="0" borderId="13" xfId="0" applyBorder="1"/>
    <xf numFmtId="0" fontId="13" fillId="0" borderId="31" xfId="0" applyFont="1" applyBorder="1" applyAlignment="1" applyProtection="1">
      <alignment vertical="center"/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0" xfId="0" applyProtection="1">
      <protection locked="0"/>
    </xf>
    <xf numFmtId="0" fontId="0" fillId="0" borderId="5" xfId="0" applyBorder="1" applyProtection="1">
      <protection locked="0"/>
    </xf>
    <xf numFmtId="0" fontId="10" fillId="0" borderId="32" xfId="1" applyFont="1" applyBorder="1" applyAlignment="1">
      <alignment horizontal="left"/>
    </xf>
    <xf numFmtId="2" fontId="10" fillId="0" borderId="36" xfId="1" applyNumberFormat="1" applyFont="1" applyBorder="1" applyAlignment="1">
      <alignment horizontal="center" vertical="center"/>
    </xf>
    <xf numFmtId="0" fontId="0" fillId="0" borderId="35" xfId="0" applyBorder="1"/>
    <xf numFmtId="0" fontId="0" fillId="0" borderId="37" xfId="0" applyBorder="1"/>
    <xf numFmtId="0" fontId="0" fillId="0" borderId="38" xfId="0" applyBorder="1"/>
    <xf numFmtId="0" fontId="10" fillId="0" borderId="14" xfId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0" fontId="10" fillId="0" borderId="14" xfId="1" applyFont="1" applyBorder="1" applyAlignment="1">
      <alignment horizontal="left"/>
    </xf>
    <xf numFmtId="14" fontId="10" fillId="0" borderId="34" xfId="1" applyNumberFormat="1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8" fillId="0" borderId="24" xfId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10" fillId="0" borderId="29" xfId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30" xfId="0" applyBorder="1" applyProtection="1">
      <protection locked="0"/>
    </xf>
    <xf numFmtId="0" fontId="0" fillId="0" borderId="13" xfId="0" applyBorder="1" applyProtection="1">
      <protection locked="0"/>
    </xf>
    <xf numFmtId="0" fontId="8" fillId="0" borderId="32" xfId="1" applyFont="1" applyBorder="1" applyAlignment="1">
      <alignment horizontal="center" vertical="center"/>
    </xf>
    <xf numFmtId="0" fontId="0" fillId="0" borderId="4" xfId="0" applyBorder="1"/>
    <xf numFmtId="0" fontId="6" fillId="0" borderId="0" xfId="1" applyFont="1"/>
    <xf numFmtId="1" fontId="10" fillId="0" borderId="12" xfId="1" applyNumberFormat="1" applyFont="1" applyBorder="1" applyAlignment="1">
      <alignment horizontal="center" vertical="center"/>
    </xf>
    <xf numFmtId="0" fontId="15" fillId="0" borderId="14" xfId="1" applyFont="1" applyBorder="1" applyAlignment="1" applyProtection="1">
      <alignment vertical="center"/>
      <protection locked="0"/>
    </xf>
    <xf numFmtId="0" fontId="0" fillId="0" borderId="18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22" xfId="0" applyBorder="1" applyProtection="1">
      <protection locked="0"/>
    </xf>
    <xf numFmtId="14" fontId="16" fillId="0" borderId="0" xfId="0" applyNumberFormat="1" applyFont="1" applyAlignment="1">
      <alignment horizontal="center"/>
    </xf>
    <xf numFmtId="0" fontId="8" fillId="0" borderId="29" xfId="1" applyFont="1" applyBorder="1" applyAlignment="1">
      <alignment horizontal="center" wrapText="1"/>
    </xf>
    <xf numFmtId="0" fontId="0" fillId="0" borderId="10" xfId="0" applyBorder="1"/>
    <xf numFmtId="0" fontId="0" fillId="0" borderId="30" xfId="0" applyBorder="1"/>
    <xf numFmtId="0" fontId="10" fillId="0" borderId="13" xfId="1" applyFont="1" applyBorder="1" applyAlignment="1">
      <alignment horizontal="center"/>
    </xf>
    <xf numFmtId="0" fontId="0" fillId="0" borderId="5" xfId="0" applyBorder="1"/>
    <xf numFmtId="0" fontId="9" fillId="0" borderId="27" xfId="1" applyFont="1" applyBorder="1" applyAlignment="1" applyProtection="1">
      <alignment vertical="center"/>
      <protection locked="0"/>
    </xf>
    <xf numFmtId="0" fontId="0" fillId="0" borderId="25" xfId="0" applyBorder="1" applyProtection="1">
      <protection locked="0"/>
    </xf>
    <xf numFmtId="0" fontId="10" fillId="0" borderId="11" xfId="1" applyFont="1" applyBorder="1" applyAlignment="1">
      <alignment horizontal="left"/>
    </xf>
    <xf numFmtId="0" fontId="13" fillId="0" borderId="0" xfId="0" applyFont="1" applyAlignment="1" applyProtection="1">
      <alignment horizontal="center" wrapText="1"/>
      <protection locked="0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10" fillId="0" borderId="3" xfId="1" applyFont="1" applyBorder="1" applyAlignment="1">
      <alignment horizontal="center"/>
    </xf>
    <xf numFmtId="14" fontId="12" fillId="0" borderId="23" xfId="1" applyNumberFormat="1" applyFont="1" applyBorder="1" applyAlignment="1" applyProtection="1">
      <alignment vertical="center"/>
      <protection locked="0"/>
    </xf>
    <xf numFmtId="0" fontId="0" fillId="0" borderId="11" xfId="0" applyBorder="1" applyProtection="1">
      <protection locked="0"/>
    </xf>
    <xf numFmtId="0" fontId="6" fillId="0" borderId="17" xfId="1" applyFont="1" applyBorder="1" applyAlignment="1" applyProtection="1">
      <alignment vertical="center"/>
      <protection locked="0"/>
    </xf>
    <xf numFmtId="0" fontId="0" fillId="0" borderId="8" xfId="0" applyBorder="1" applyProtection="1">
      <protection locked="0"/>
    </xf>
    <xf numFmtId="164" fontId="7" fillId="0" borderId="2" xfId="1" applyNumberFormat="1" applyBorder="1" applyAlignment="1">
      <alignment horizontal="center" vertical="center" wrapText="1"/>
    </xf>
    <xf numFmtId="2" fontId="6" fillId="0" borderId="36" xfId="1" applyNumberFormat="1" applyFont="1" applyBorder="1" applyAlignment="1" applyProtection="1">
      <alignment vertical="center"/>
      <protection locked="0"/>
    </xf>
    <xf numFmtId="0" fontId="0" fillId="0" borderId="26" xfId="0" applyBorder="1" applyProtection="1">
      <protection locked="0"/>
    </xf>
    <xf numFmtId="0" fontId="18" fillId="0" borderId="3" xfId="0" applyFont="1" applyBorder="1" applyAlignment="1">
      <alignment horizontal="center"/>
    </xf>
    <xf numFmtId="0" fontId="9" fillId="0" borderId="24" xfId="1" applyFont="1" applyBorder="1" applyAlignment="1">
      <alignment horizontal="center"/>
    </xf>
    <xf numFmtId="164" fontId="2" fillId="0" borderId="2" xfId="1" applyNumberFormat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wrapText="1"/>
    </xf>
    <xf numFmtId="0" fontId="19" fillId="2" borderId="36" xfId="1" applyFont="1" applyFill="1" applyBorder="1" applyAlignment="1">
      <alignment horizontal="center"/>
    </xf>
  </cellXfs>
  <cellStyles count="5">
    <cellStyle name="Normal" xfId="2" xr:uid="{00000000-0005-0000-0000-000002000000}"/>
    <cellStyle name="Обычный" xfId="0" builtinId="0"/>
    <cellStyle name="Обычный 2" xfId="3" xr:uid="{00000000-0005-0000-0000-000003000000}"/>
    <cellStyle name="Обычный 2 2" xfId="4" xr:uid="{00000000-0005-0000-0000-000004000000}"/>
    <cellStyle name="Обычный 2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42</xdr:row>
      <xdr:rowOff>114300</xdr:rowOff>
    </xdr:from>
    <xdr:to>
      <xdr:col>3</xdr:col>
      <xdr:colOff>561975</xdr:colOff>
      <xdr:row>44</xdr:row>
      <xdr:rowOff>180023</xdr:rowOff>
    </xdr:to>
    <xdr:pic>
      <xdr:nvPicPr>
        <xdr:cNvPr id="2" name="Рисунок 1" descr="http://ved-com.com/wp-content/uploads/2015/06/%D0%91%D0%B5%D1%80%D0%B5%D1%87%D1%8C-%D0%BE%D1%82-%D0%B2%D0%BB%D0%B0%D0%B3%D0%B8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1700" y="8391525"/>
          <a:ext cx="333375" cy="4467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4</xdr:col>
      <xdr:colOff>180975</xdr:colOff>
      <xdr:row>42</xdr:row>
      <xdr:rowOff>171450</xdr:rowOff>
    </xdr:from>
    <xdr:to>
      <xdr:col>4</xdr:col>
      <xdr:colOff>633556</xdr:colOff>
      <xdr:row>44</xdr:row>
      <xdr:rowOff>180975</xdr:rowOff>
    </xdr:to>
    <xdr:pic>
      <xdr:nvPicPr>
        <xdr:cNvPr id="3" name="Рисунок 2" descr="http://izgotovlenie-trafaretov.ru/wp-content/uploads/2015/02/image00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8448675"/>
          <a:ext cx="452581" cy="39052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5</xdr:col>
      <xdr:colOff>371475</xdr:colOff>
      <xdr:row>43</xdr:row>
      <xdr:rowOff>0</xdr:rowOff>
    </xdr:from>
    <xdr:to>
      <xdr:col>5</xdr:col>
      <xdr:colOff>670764</xdr:colOff>
      <xdr:row>44</xdr:row>
      <xdr:rowOff>171450</xdr:rowOff>
    </xdr:to>
    <xdr:pic>
      <xdr:nvPicPr>
        <xdr:cNvPr id="4" name="Рисунок 3" descr="http://markirovka-truboprovodov.ru/storage/SCContent/7/%D0%A8%D1%82%D0%B0%D0%B1%D0%B5%D0%BB%D0%B8%D1%80%D0%BE%D0%B2%D0%B0%D1%82%D1%8C_%D0%B7%D0%B0%D0%BF%D1%80%D0%B5%D1%89%D0%B0%D0%B5%D1%82%D1%81%D1%8F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638550" y="8467725"/>
          <a:ext cx="299289" cy="3619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6</xdr:col>
      <xdr:colOff>390525</xdr:colOff>
      <xdr:row>42</xdr:row>
      <xdr:rowOff>180975</xdr:rowOff>
    </xdr:from>
    <xdr:to>
      <xdr:col>6</xdr:col>
      <xdr:colOff>829975</xdr:colOff>
      <xdr:row>44</xdr:row>
      <xdr:rowOff>190500</xdr:rowOff>
    </xdr:to>
    <xdr:pic>
      <xdr:nvPicPr>
        <xdr:cNvPr id="5" name="Рисунок 4" descr="http://biltar.com.tr/images/urun/sertifikalar/9/gida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0525" y="8458200"/>
          <a:ext cx="439450" cy="39052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8</xdr:col>
      <xdr:colOff>3464</xdr:colOff>
      <xdr:row>43</xdr:row>
      <xdr:rowOff>38100</xdr:rowOff>
    </xdr:from>
    <xdr:to>
      <xdr:col>8</xdr:col>
      <xdr:colOff>476251</xdr:colOff>
      <xdr:row>44</xdr:row>
      <xdr:rowOff>141092</xdr:rowOff>
    </xdr:to>
    <xdr:pic>
      <xdr:nvPicPr>
        <xdr:cNvPr id="6" name="Рисунок 5" descr="http://www.woodi.fi/sites/default/files/u3/EAC_0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251739" y="8505825"/>
          <a:ext cx="472787" cy="293492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42</xdr:row>
      <xdr:rowOff>114300</xdr:rowOff>
    </xdr:from>
    <xdr:to>
      <xdr:col>3</xdr:col>
      <xdr:colOff>561975</xdr:colOff>
      <xdr:row>44</xdr:row>
      <xdr:rowOff>180023</xdr:rowOff>
    </xdr:to>
    <xdr:pic>
      <xdr:nvPicPr>
        <xdr:cNvPr id="2" name="Рисунок 1" descr="http://ved-com.com/wp-content/uploads/2015/06/%D0%91%D0%B5%D1%80%D0%B5%D1%87%D1%8C-%D0%BE%D1%82-%D0%B2%D0%BB%D0%B0%D0%B3%D0%B8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1700" y="8391525"/>
          <a:ext cx="333375" cy="4467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4</xdr:col>
      <xdr:colOff>180975</xdr:colOff>
      <xdr:row>42</xdr:row>
      <xdr:rowOff>171450</xdr:rowOff>
    </xdr:from>
    <xdr:to>
      <xdr:col>4</xdr:col>
      <xdr:colOff>633556</xdr:colOff>
      <xdr:row>44</xdr:row>
      <xdr:rowOff>180975</xdr:rowOff>
    </xdr:to>
    <xdr:pic>
      <xdr:nvPicPr>
        <xdr:cNvPr id="3" name="Рисунок 2" descr="http://izgotovlenie-trafaretov.ru/wp-content/uploads/2015/02/image003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8448675"/>
          <a:ext cx="452581" cy="39052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5</xdr:col>
      <xdr:colOff>371475</xdr:colOff>
      <xdr:row>43</xdr:row>
      <xdr:rowOff>0</xdr:rowOff>
    </xdr:from>
    <xdr:to>
      <xdr:col>5</xdr:col>
      <xdr:colOff>670764</xdr:colOff>
      <xdr:row>44</xdr:row>
      <xdr:rowOff>171450</xdr:rowOff>
    </xdr:to>
    <xdr:pic>
      <xdr:nvPicPr>
        <xdr:cNvPr id="4" name="Рисунок 3" descr="http://markirovka-truboprovodov.ru/storage/SCContent/7/%D0%A8%D1%82%D0%B0%D0%B1%D0%B5%D0%BB%D0%B8%D1%80%D0%BE%D0%B2%D0%B0%D1%82%D1%8C_%D0%B7%D0%B0%D0%BF%D1%80%D0%B5%D1%89%D0%B0%D0%B5%D1%82%D1%81%D1%8F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638550" y="8467725"/>
          <a:ext cx="299289" cy="3619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6</xdr:col>
      <xdr:colOff>390525</xdr:colOff>
      <xdr:row>42</xdr:row>
      <xdr:rowOff>180975</xdr:rowOff>
    </xdr:from>
    <xdr:to>
      <xdr:col>7</xdr:col>
      <xdr:colOff>1300</xdr:colOff>
      <xdr:row>44</xdr:row>
      <xdr:rowOff>190500</xdr:rowOff>
    </xdr:to>
    <xdr:pic>
      <xdr:nvPicPr>
        <xdr:cNvPr id="5" name="Рисунок 4" descr="http://biltar.com.tr/images/urun/sertifikalar/9/gida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0525" y="8458200"/>
          <a:ext cx="439450" cy="39052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8</xdr:col>
      <xdr:colOff>3464</xdr:colOff>
      <xdr:row>43</xdr:row>
      <xdr:rowOff>38100</xdr:rowOff>
    </xdr:from>
    <xdr:to>
      <xdr:col>8</xdr:col>
      <xdr:colOff>476251</xdr:colOff>
      <xdr:row>44</xdr:row>
      <xdr:rowOff>141092</xdr:rowOff>
    </xdr:to>
    <xdr:pic>
      <xdr:nvPicPr>
        <xdr:cNvPr id="6" name="Рисунок 5" descr="http://www.woodi.fi/sites/default/files/u3/EAC_0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251739" y="8505825"/>
          <a:ext cx="472787" cy="293492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42</xdr:row>
      <xdr:rowOff>114300</xdr:rowOff>
    </xdr:from>
    <xdr:to>
      <xdr:col>3</xdr:col>
      <xdr:colOff>561975</xdr:colOff>
      <xdr:row>44</xdr:row>
      <xdr:rowOff>180023</xdr:rowOff>
    </xdr:to>
    <xdr:pic>
      <xdr:nvPicPr>
        <xdr:cNvPr id="2" name="Рисунок 1" descr="http://ved-com.com/wp-content/uploads/2015/06/%D0%91%D0%B5%D1%80%D0%B5%D1%87%D1%8C-%D0%BE%D1%82-%D0%B2%D0%BB%D0%B0%D0%B3%D0%B8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28850" y="8391525"/>
          <a:ext cx="333375" cy="4467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4</xdr:col>
      <xdr:colOff>180975</xdr:colOff>
      <xdr:row>42</xdr:row>
      <xdr:rowOff>171450</xdr:rowOff>
    </xdr:from>
    <xdr:to>
      <xdr:col>4</xdr:col>
      <xdr:colOff>633556</xdr:colOff>
      <xdr:row>44</xdr:row>
      <xdr:rowOff>180975</xdr:rowOff>
    </xdr:to>
    <xdr:pic>
      <xdr:nvPicPr>
        <xdr:cNvPr id="3" name="Рисунок 2" descr="http://izgotovlenie-trafaretov.ru/wp-content/uploads/2015/02/image003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981325" y="8448675"/>
          <a:ext cx="452581" cy="39052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5</xdr:col>
      <xdr:colOff>371475</xdr:colOff>
      <xdr:row>43</xdr:row>
      <xdr:rowOff>0</xdr:rowOff>
    </xdr:from>
    <xdr:to>
      <xdr:col>6</xdr:col>
      <xdr:colOff>42114</xdr:colOff>
      <xdr:row>44</xdr:row>
      <xdr:rowOff>171450</xdr:rowOff>
    </xdr:to>
    <xdr:pic>
      <xdr:nvPicPr>
        <xdr:cNvPr id="4" name="Рисунок 3" descr="http://markirovka-truboprovodov.ru/storage/SCContent/7/%D0%A8%D1%82%D0%B0%D0%B1%D0%B5%D0%BB%D0%B8%D1%80%D0%BE%D0%B2%D0%B0%D1%82%D1%8C_%D0%B7%D0%B0%D0%BF%D1%80%D0%B5%D1%89%D0%B0%D0%B5%D1%82%D1%81%D1%8F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848100" y="8467725"/>
          <a:ext cx="299289" cy="3619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6</xdr:col>
      <xdr:colOff>390525</xdr:colOff>
      <xdr:row>42</xdr:row>
      <xdr:rowOff>180975</xdr:rowOff>
    </xdr:from>
    <xdr:to>
      <xdr:col>7</xdr:col>
      <xdr:colOff>265618</xdr:colOff>
      <xdr:row>44</xdr:row>
      <xdr:rowOff>190500</xdr:rowOff>
    </xdr:to>
    <xdr:pic>
      <xdr:nvPicPr>
        <xdr:cNvPr id="5" name="Рисунок 4" descr="http://biltar.com.tr/images/urun/sertifikalar/9/gida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591050" y="8458200"/>
          <a:ext cx="439450" cy="39052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7</xdr:col>
      <xdr:colOff>3464</xdr:colOff>
      <xdr:row>43</xdr:row>
      <xdr:rowOff>38100</xdr:rowOff>
    </xdr:from>
    <xdr:to>
      <xdr:col>7</xdr:col>
      <xdr:colOff>476251</xdr:colOff>
      <xdr:row>44</xdr:row>
      <xdr:rowOff>141092</xdr:rowOff>
    </xdr:to>
    <xdr:pic>
      <xdr:nvPicPr>
        <xdr:cNvPr id="6" name="Рисунок 5" descr="http://www.woodi.fi/sites/default/files/u3/EAC_0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166014" y="8505825"/>
          <a:ext cx="472787" cy="293492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workbookViewId="0">
      <selection activeCell="B1" sqref="B1:G4"/>
    </sheetView>
  </sheetViews>
  <sheetFormatPr defaultRowHeight="15" x14ac:dyDescent="0.25"/>
  <cols>
    <col min="1" max="1" width="9.7109375" style="9" customWidth="1"/>
    <col min="2" max="2" width="10.85546875" style="9" bestFit="1" customWidth="1"/>
    <col min="3" max="3" width="9.140625" style="9" customWidth="1"/>
    <col min="4" max="4" width="11.140625" style="9" customWidth="1"/>
    <col min="5" max="5" width="10.140625" style="9" bestFit="1" customWidth="1"/>
    <col min="6" max="6" width="10.28515625" style="9" customWidth="1"/>
    <col min="7" max="7" width="13.28515625" style="9" customWidth="1"/>
    <col min="8" max="8" width="2" style="9" customWidth="1"/>
    <col min="9" max="10" width="9.140625" style="9" customWidth="1"/>
    <col min="11" max="11" width="21.28515625" style="9" customWidth="1"/>
    <col min="12" max="12" width="5.140625" style="9" customWidth="1"/>
    <col min="13" max="13" width="9" style="9" customWidth="1"/>
    <col min="14" max="14" width="6.85546875" style="9" customWidth="1"/>
    <col min="15" max="15" width="10.28515625" style="9" customWidth="1"/>
    <col min="16" max="16" width="11.5703125" style="9" customWidth="1"/>
    <col min="17" max="20" width="9.140625" style="9" customWidth="1"/>
    <col min="21" max="21" width="14" style="9" customWidth="1"/>
    <col min="22" max="22" width="11.140625" style="9" customWidth="1"/>
    <col min="23" max="40" width="9.140625" style="9" customWidth="1"/>
    <col min="41" max="16384" width="9.140625" style="9"/>
  </cols>
  <sheetData>
    <row r="1" spans="1:18" ht="15" customHeight="1" x14ac:dyDescent="0.25">
      <c r="A1" s="1"/>
      <c r="B1" s="101"/>
      <c r="C1" s="58"/>
      <c r="D1" s="58"/>
      <c r="E1" s="58"/>
      <c r="F1" s="58"/>
      <c r="G1" s="58"/>
      <c r="H1" s="2"/>
      <c r="I1" s="3"/>
      <c r="J1" s="4"/>
      <c r="K1" s="33" t="s">
        <v>0</v>
      </c>
      <c r="L1" s="4"/>
      <c r="M1" s="4"/>
      <c r="N1" s="4"/>
      <c r="O1" s="4"/>
      <c r="P1" s="5"/>
    </row>
    <row r="2" spans="1:18" x14ac:dyDescent="0.25">
      <c r="A2" s="6"/>
      <c r="B2" s="61"/>
      <c r="C2" s="61"/>
      <c r="D2" s="61"/>
      <c r="E2" s="61"/>
      <c r="F2" s="61"/>
      <c r="G2" s="61"/>
      <c r="H2" s="4"/>
      <c r="I2" s="7"/>
      <c r="J2" s="4"/>
      <c r="K2" s="40"/>
      <c r="L2" s="4"/>
      <c r="M2" s="4"/>
      <c r="N2" s="4"/>
      <c r="O2" s="4"/>
      <c r="P2" s="8"/>
    </row>
    <row r="3" spans="1:18" x14ac:dyDescent="0.25">
      <c r="A3" s="6"/>
      <c r="B3" s="61"/>
      <c r="C3" s="61"/>
      <c r="D3" s="61"/>
      <c r="E3" s="61"/>
      <c r="F3" s="61"/>
      <c r="G3" s="61"/>
      <c r="H3" s="4"/>
      <c r="I3" s="7"/>
      <c r="J3" s="4"/>
      <c r="K3" s="4"/>
      <c r="L3" s="4"/>
      <c r="M3" s="4"/>
      <c r="N3" s="4"/>
      <c r="O3" s="4"/>
      <c r="P3" s="8"/>
    </row>
    <row r="4" spans="1:18" ht="8.25" customHeight="1" thickBot="1" x14ac:dyDescent="0.3">
      <c r="A4" s="6"/>
      <c r="B4" s="61"/>
      <c r="C4" s="61"/>
      <c r="D4" s="61"/>
      <c r="E4" s="61"/>
      <c r="F4" s="61"/>
      <c r="G4" s="61"/>
      <c r="H4" s="4"/>
      <c r="I4" s="7"/>
      <c r="J4" s="4"/>
      <c r="K4" s="4"/>
      <c r="L4" s="5"/>
      <c r="M4" s="4"/>
      <c r="N4" s="4"/>
      <c r="O4" s="4"/>
      <c r="P4" s="8"/>
    </row>
    <row r="5" spans="1:18" ht="30" customHeight="1" thickBot="1" x14ac:dyDescent="0.3">
      <c r="A5" s="73" t="s">
        <v>1</v>
      </c>
      <c r="B5" s="74"/>
      <c r="C5" s="75"/>
      <c r="D5" s="97"/>
      <c r="E5" s="98"/>
      <c r="F5" s="98"/>
      <c r="G5" s="98"/>
      <c r="H5" s="98"/>
      <c r="I5" s="51"/>
      <c r="J5" s="4"/>
      <c r="K5" s="4"/>
      <c r="L5" s="5"/>
      <c r="M5" s="4"/>
      <c r="N5" s="4"/>
      <c r="O5" s="4"/>
      <c r="P5" s="8"/>
      <c r="R5" s="27"/>
    </row>
    <row r="6" spans="1:18" ht="15" customHeight="1" x14ac:dyDescent="0.25">
      <c r="A6" s="92" t="s">
        <v>2</v>
      </c>
      <c r="B6" s="48"/>
      <c r="C6" s="93"/>
      <c r="D6" s="76"/>
      <c r="E6" s="77"/>
      <c r="F6" s="77"/>
      <c r="G6" s="77"/>
      <c r="H6" s="77"/>
      <c r="I6" s="78"/>
      <c r="K6" s="4"/>
      <c r="L6" s="10"/>
      <c r="M6" s="4"/>
      <c r="N6" s="4"/>
      <c r="P6" s="8"/>
    </row>
    <row r="7" spans="1:18" ht="15" customHeight="1" x14ac:dyDescent="0.25">
      <c r="A7" s="94"/>
      <c r="B7" s="49"/>
      <c r="C7" s="56"/>
      <c r="D7" s="79"/>
      <c r="E7" s="72"/>
      <c r="F7" s="72"/>
      <c r="G7" s="72"/>
      <c r="H7" s="72"/>
      <c r="I7" s="80"/>
      <c r="K7" s="4"/>
      <c r="M7" s="4"/>
      <c r="N7" s="4"/>
      <c r="P7" s="8"/>
    </row>
    <row r="8" spans="1:18" ht="12.75" customHeight="1" x14ac:dyDescent="0.25">
      <c r="A8" s="41" t="s">
        <v>3</v>
      </c>
      <c r="B8" s="42"/>
      <c r="C8" s="43"/>
      <c r="D8" s="103"/>
      <c r="E8" s="58"/>
      <c r="F8" s="58"/>
      <c r="G8" s="58"/>
      <c r="H8" s="58"/>
      <c r="I8" s="59"/>
      <c r="K8" s="4"/>
      <c r="M8" s="4"/>
      <c r="N8" s="4"/>
      <c r="P8" s="8"/>
    </row>
    <row r="9" spans="1:18" ht="11.25" customHeight="1" x14ac:dyDescent="0.25">
      <c r="A9" s="44"/>
      <c r="B9" s="45"/>
      <c r="C9" s="46"/>
      <c r="D9" s="104"/>
      <c r="E9" s="72"/>
      <c r="F9" s="72"/>
      <c r="G9" s="72"/>
      <c r="H9" s="72"/>
      <c r="I9" s="80"/>
      <c r="K9" s="4"/>
      <c r="M9" s="4"/>
      <c r="N9" s="4"/>
      <c r="P9" s="8"/>
    </row>
    <row r="10" spans="1:18" ht="20.25" customHeight="1" x14ac:dyDescent="0.25">
      <c r="A10" s="41" t="s">
        <v>4</v>
      </c>
      <c r="B10" s="42"/>
      <c r="C10" s="43"/>
      <c r="D10" s="57"/>
      <c r="E10" s="58"/>
      <c r="F10" s="58"/>
      <c r="G10" s="58"/>
      <c r="H10" s="58"/>
      <c r="I10" s="59"/>
      <c r="K10" s="4"/>
      <c r="M10" s="4"/>
      <c r="N10" s="4"/>
      <c r="P10" s="8"/>
    </row>
    <row r="11" spans="1:18" ht="19.5" customHeight="1" x14ac:dyDescent="0.25">
      <c r="A11" s="44"/>
      <c r="B11" s="45"/>
      <c r="C11" s="46"/>
      <c r="D11" s="60"/>
      <c r="E11" s="61"/>
      <c r="F11" s="61"/>
      <c r="G11" s="61"/>
      <c r="H11" s="61"/>
      <c r="I11" s="62"/>
      <c r="K11" s="4"/>
      <c r="M11" s="4"/>
      <c r="N11" s="4"/>
      <c r="O11" s="11"/>
      <c r="P11" s="8"/>
    </row>
    <row r="12" spans="1:18" ht="15.75" customHeight="1" thickBot="1" x14ac:dyDescent="0.3">
      <c r="A12" s="69"/>
      <c r="B12" s="42"/>
      <c r="C12" s="42"/>
      <c r="D12" s="42"/>
      <c r="E12" s="42"/>
      <c r="F12" s="42"/>
      <c r="G12" s="42"/>
      <c r="H12" s="42"/>
      <c r="I12" s="43"/>
      <c r="K12" s="4"/>
      <c r="M12" s="4"/>
      <c r="P12" s="11"/>
    </row>
    <row r="13" spans="1:18" ht="15.75" customHeight="1" thickBot="1" x14ac:dyDescent="0.3">
      <c r="A13" s="12" t="s">
        <v>5</v>
      </c>
      <c r="B13" s="12" t="s">
        <v>6</v>
      </c>
      <c r="C13" s="12" t="s">
        <v>7</v>
      </c>
      <c r="D13" s="12" t="s">
        <v>8</v>
      </c>
      <c r="E13" s="12" t="s">
        <v>5</v>
      </c>
      <c r="F13" s="12" t="s">
        <v>6</v>
      </c>
      <c r="G13" s="12" t="s">
        <v>9</v>
      </c>
      <c r="H13" s="12" t="s">
        <v>8</v>
      </c>
      <c r="I13" s="13"/>
      <c r="K13" s="4"/>
    </row>
    <row r="14" spans="1:18" ht="15.75" customHeight="1" thickBot="1" x14ac:dyDescent="0.3">
      <c r="A14" s="36">
        <v>1</v>
      </c>
      <c r="B14" s="35"/>
      <c r="C14" s="35"/>
      <c r="D14" s="37"/>
      <c r="E14" s="38">
        <v>16</v>
      </c>
      <c r="F14" s="35"/>
      <c r="G14" s="35"/>
      <c r="H14" s="50"/>
      <c r="I14" s="51"/>
      <c r="K14" s="4"/>
    </row>
    <row r="15" spans="1:18" ht="15.75" customHeight="1" thickBot="1" x14ac:dyDescent="0.3">
      <c r="A15" s="38">
        <v>2</v>
      </c>
      <c r="B15" s="35"/>
      <c r="C15" s="35"/>
      <c r="D15" s="37"/>
      <c r="E15" s="38">
        <v>17</v>
      </c>
      <c r="F15" s="35"/>
      <c r="G15" s="35"/>
      <c r="H15" s="50"/>
      <c r="I15" s="51"/>
    </row>
    <row r="16" spans="1:18" ht="15.75" customHeight="1" thickBot="1" x14ac:dyDescent="0.3">
      <c r="A16" s="38">
        <v>3</v>
      </c>
      <c r="B16" s="35"/>
      <c r="C16" s="35"/>
      <c r="D16" s="37"/>
      <c r="E16" s="38">
        <v>18</v>
      </c>
      <c r="F16" s="35"/>
      <c r="G16" s="35"/>
      <c r="H16" s="50"/>
      <c r="I16" s="51"/>
    </row>
    <row r="17" spans="1:16" ht="15.75" customHeight="1" thickBot="1" x14ac:dyDescent="0.3">
      <c r="A17" s="38">
        <v>4</v>
      </c>
      <c r="B17" s="35"/>
      <c r="C17" s="35"/>
      <c r="D17" s="37"/>
      <c r="E17" s="38">
        <v>19</v>
      </c>
      <c r="F17" s="35"/>
      <c r="G17" s="35"/>
      <c r="H17" s="50"/>
      <c r="I17" s="51"/>
    </row>
    <row r="18" spans="1:16" ht="15.75" customHeight="1" thickBot="1" x14ac:dyDescent="0.3">
      <c r="A18" s="38">
        <v>5</v>
      </c>
      <c r="B18" s="35"/>
      <c r="C18" s="35"/>
      <c r="D18" s="37"/>
      <c r="E18" s="38">
        <v>20</v>
      </c>
      <c r="F18" s="35"/>
      <c r="G18" s="35"/>
      <c r="H18" s="50"/>
      <c r="I18" s="51"/>
    </row>
    <row r="19" spans="1:16" ht="15.75" customHeight="1" thickBot="1" x14ac:dyDescent="0.3">
      <c r="A19" s="38">
        <v>6</v>
      </c>
      <c r="B19" s="35"/>
      <c r="C19" s="35"/>
      <c r="D19" s="37"/>
      <c r="E19" s="38">
        <v>21</v>
      </c>
      <c r="F19" s="35"/>
      <c r="G19" s="35"/>
      <c r="H19" s="50"/>
      <c r="I19" s="51"/>
    </row>
    <row r="20" spans="1:16" ht="15.75" customHeight="1" thickBot="1" x14ac:dyDescent="0.3">
      <c r="A20" s="38">
        <v>7</v>
      </c>
      <c r="B20" s="35"/>
      <c r="C20" s="35"/>
      <c r="D20" s="37"/>
      <c r="E20" s="38">
        <v>22</v>
      </c>
      <c r="F20" s="35"/>
      <c r="G20" s="35"/>
      <c r="H20" s="50"/>
      <c r="I20" s="51"/>
    </row>
    <row r="21" spans="1:16" ht="15.75" customHeight="1" thickBot="1" x14ac:dyDescent="0.3">
      <c r="A21" s="38">
        <v>8</v>
      </c>
      <c r="B21" s="35"/>
      <c r="C21" s="35"/>
      <c r="D21" s="37"/>
      <c r="E21" s="38">
        <v>23</v>
      </c>
      <c r="F21" s="35"/>
      <c r="G21" s="35"/>
      <c r="H21" s="50"/>
      <c r="I21" s="51"/>
    </row>
    <row r="22" spans="1:16" ht="15.75" customHeight="1" thickBot="1" x14ac:dyDescent="0.3">
      <c r="A22" s="38">
        <v>9</v>
      </c>
      <c r="B22" s="35"/>
      <c r="C22" s="35"/>
      <c r="D22" s="37"/>
      <c r="E22" s="38">
        <v>24</v>
      </c>
      <c r="F22" s="35"/>
      <c r="G22" s="35"/>
      <c r="H22" s="50"/>
      <c r="I22" s="51"/>
    </row>
    <row r="23" spans="1:16" ht="15.75" customHeight="1" thickBot="1" x14ac:dyDescent="0.3">
      <c r="A23" s="38">
        <v>10</v>
      </c>
      <c r="B23" s="35"/>
      <c r="C23" s="35"/>
      <c r="D23" s="37"/>
      <c r="E23" s="38">
        <v>25</v>
      </c>
      <c r="F23" s="35"/>
      <c r="G23" s="35"/>
      <c r="H23" s="50"/>
      <c r="I23" s="51"/>
    </row>
    <row r="24" spans="1:16" ht="15.75" customHeight="1" thickBot="1" x14ac:dyDescent="0.3">
      <c r="A24" s="38">
        <v>11</v>
      </c>
      <c r="B24" s="35"/>
      <c r="C24" s="35"/>
      <c r="D24" s="37"/>
      <c r="E24" s="38">
        <v>26</v>
      </c>
      <c r="F24" s="35"/>
      <c r="G24" s="35"/>
      <c r="H24" s="50"/>
      <c r="I24" s="51"/>
    </row>
    <row r="25" spans="1:16" ht="15.75" customHeight="1" thickBot="1" x14ac:dyDescent="0.3">
      <c r="A25" s="38">
        <v>12</v>
      </c>
      <c r="B25" s="35"/>
      <c r="C25" s="35"/>
      <c r="D25" s="37"/>
      <c r="E25" s="38">
        <v>27</v>
      </c>
      <c r="F25" s="35"/>
      <c r="G25" s="35"/>
      <c r="H25" s="50"/>
      <c r="I25" s="51"/>
    </row>
    <row r="26" spans="1:16" ht="15" customHeight="1" thickBot="1" x14ac:dyDescent="0.3">
      <c r="A26" s="38">
        <v>13</v>
      </c>
      <c r="B26" s="35"/>
      <c r="C26" s="35"/>
      <c r="D26" s="37"/>
      <c r="E26" s="38">
        <v>28</v>
      </c>
      <c r="F26" s="35"/>
      <c r="G26" s="35"/>
      <c r="H26" s="50"/>
      <c r="I26" s="51"/>
    </row>
    <row r="27" spans="1:16" ht="15.75" customHeight="1" thickBot="1" x14ac:dyDescent="0.3">
      <c r="A27" s="36">
        <v>14</v>
      </c>
      <c r="B27" s="35"/>
      <c r="C27" s="35"/>
      <c r="D27" s="37"/>
      <c r="E27" s="38">
        <v>29</v>
      </c>
      <c r="F27" s="35"/>
      <c r="G27" s="35"/>
      <c r="H27" s="50"/>
      <c r="I27" s="51"/>
    </row>
    <row r="28" spans="1:16" ht="15.75" customHeight="1" thickBot="1" x14ac:dyDescent="0.3">
      <c r="A28" s="36">
        <v>15</v>
      </c>
      <c r="B28" s="35"/>
      <c r="C28" s="35"/>
      <c r="D28" s="37"/>
      <c r="E28" s="38">
        <v>30</v>
      </c>
      <c r="F28" s="35"/>
      <c r="G28" s="35"/>
      <c r="H28" s="50"/>
      <c r="I28" s="51"/>
    </row>
    <row r="29" spans="1:16" ht="15" customHeight="1" x14ac:dyDescent="0.3">
      <c r="A29" s="99" t="s">
        <v>10</v>
      </c>
      <c r="B29" s="83"/>
      <c r="C29" s="83"/>
      <c r="D29" s="83"/>
      <c r="E29" s="14"/>
      <c r="F29" s="84">
        <f>COUNT(B14:B28)+COUNT(F14:F28)</f>
        <v>0</v>
      </c>
      <c r="G29" s="83"/>
      <c r="H29" s="14"/>
      <c r="I29" s="15"/>
      <c r="P29" s="11"/>
    </row>
    <row r="30" spans="1:16" ht="15" customHeight="1" thickBot="1" x14ac:dyDescent="0.35">
      <c r="A30" s="55"/>
      <c r="B30" s="49"/>
      <c r="C30" s="49"/>
      <c r="D30" s="49"/>
      <c r="E30" s="16"/>
      <c r="F30" s="49"/>
      <c r="G30" s="49"/>
      <c r="H30" s="16"/>
      <c r="I30" s="17"/>
      <c r="L30" s="11"/>
      <c r="P30" s="11"/>
    </row>
    <row r="31" spans="1:16" ht="15" customHeight="1" thickBot="1" x14ac:dyDescent="0.3">
      <c r="A31" s="63" t="s">
        <v>11</v>
      </c>
      <c r="B31" s="53"/>
      <c r="C31" s="53"/>
      <c r="D31" s="53"/>
      <c r="E31" s="53"/>
      <c r="F31" s="64">
        <f>SUM(B14:B28)+SUM(F14:F28)+K2</f>
        <v>0</v>
      </c>
      <c r="G31" s="65"/>
      <c r="H31" s="102" t="s">
        <v>12</v>
      </c>
      <c r="I31" s="54"/>
      <c r="P31" s="11"/>
    </row>
    <row r="32" spans="1:16" ht="15" customHeight="1" thickBot="1" x14ac:dyDescent="0.3">
      <c r="A32" s="55"/>
      <c r="B32" s="49"/>
      <c r="C32" s="49"/>
      <c r="D32" s="49"/>
      <c r="E32" s="49"/>
      <c r="F32" s="66"/>
      <c r="G32" s="67"/>
      <c r="H32" s="83"/>
      <c r="I32" s="96"/>
    </row>
    <row r="33" spans="1:16" ht="15" customHeight="1" x14ac:dyDescent="0.3">
      <c r="A33" s="63" t="s">
        <v>13</v>
      </c>
      <c r="B33" s="53"/>
      <c r="C33" s="53"/>
      <c r="D33" s="53"/>
      <c r="E33" s="14"/>
      <c r="F33" s="47">
        <f>SUM(C14:C28)+SUM(G14:G28)</f>
        <v>0</v>
      </c>
      <c r="G33" s="48"/>
      <c r="H33" s="95" t="s">
        <v>12</v>
      </c>
      <c r="I33" s="96"/>
      <c r="P33" s="11"/>
    </row>
    <row r="34" spans="1:16" ht="15" customHeight="1" x14ac:dyDescent="0.3">
      <c r="A34" s="55"/>
      <c r="B34" s="49"/>
      <c r="C34" s="49"/>
      <c r="D34" s="49"/>
      <c r="E34" s="14"/>
      <c r="F34" s="49"/>
      <c r="G34" s="49"/>
      <c r="H34" s="49"/>
      <c r="I34" s="56"/>
      <c r="P34" s="11"/>
    </row>
    <row r="35" spans="1:16" ht="15" customHeight="1" x14ac:dyDescent="0.25">
      <c r="A35" s="63" t="s">
        <v>14</v>
      </c>
      <c r="B35" s="53"/>
      <c r="C35" s="53"/>
      <c r="D35" s="53"/>
      <c r="E35" s="53"/>
      <c r="F35" s="53"/>
      <c r="G35" s="52">
        <f>SUM(D14:D28)+SUM(H14:H28)</f>
        <v>0</v>
      </c>
      <c r="H35" s="53"/>
      <c r="I35" s="54"/>
    </row>
    <row r="36" spans="1:16" ht="18.75" customHeight="1" x14ac:dyDescent="0.25">
      <c r="A36" s="55"/>
      <c r="B36" s="49"/>
      <c r="C36" s="49"/>
      <c r="D36" s="49"/>
      <c r="E36" s="49"/>
      <c r="F36" s="49"/>
      <c r="G36" s="55"/>
      <c r="H36" s="49"/>
      <c r="I36" s="56"/>
    </row>
    <row r="37" spans="1:16" ht="15" customHeight="1" x14ac:dyDescent="0.3">
      <c r="A37" s="63" t="s">
        <v>15</v>
      </c>
      <c r="B37" s="53"/>
      <c r="C37" s="53"/>
      <c r="D37" s="18"/>
      <c r="E37" s="18"/>
      <c r="F37" s="71"/>
      <c r="G37" s="58"/>
      <c r="H37" s="18"/>
      <c r="I37" s="19"/>
    </row>
    <row r="38" spans="1:16" ht="15" customHeight="1" x14ac:dyDescent="0.3">
      <c r="A38" s="55"/>
      <c r="B38" s="49"/>
      <c r="C38" s="49"/>
      <c r="D38" s="16"/>
      <c r="E38" s="16"/>
      <c r="F38" s="72"/>
      <c r="G38" s="72"/>
      <c r="H38" s="16"/>
      <c r="I38" s="17"/>
    </row>
    <row r="39" spans="1:16" x14ac:dyDescent="0.25">
      <c r="A39" s="70" t="s">
        <v>16</v>
      </c>
      <c r="B39" s="42"/>
      <c r="C39" s="42"/>
      <c r="D39" s="42"/>
      <c r="E39" s="42"/>
      <c r="F39" s="42"/>
      <c r="G39" s="42"/>
      <c r="H39" s="42"/>
      <c r="I39" s="43"/>
    </row>
    <row r="40" spans="1:16" x14ac:dyDescent="0.25">
      <c r="A40" s="44"/>
      <c r="B40" s="45"/>
      <c r="C40" s="45"/>
      <c r="D40" s="45"/>
      <c r="E40" s="45"/>
      <c r="F40" s="45"/>
      <c r="G40" s="45"/>
      <c r="H40" s="45"/>
      <c r="I40" s="46"/>
    </row>
    <row r="41" spans="1:16" ht="11.25" customHeight="1" x14ac:dyDescent="0.25">
      <c r="A41" s="68" t="s">
        <v>17</v>
      </c>
      <c r="B41" s="42"/>
      <c r="C41" s="42"/>
      <c r="D41" s="43"/>
      <c r="E41" s="85"/>
      <c r="F41" s="86"/>
      <c r="G41" s="86"/>
      <c r="H41" s="86"/>
      <c r="I41" s="87"/>
    </row>
    <row r="42" spans="1:16" ht="12.75" customHeight="1" x14ac:dyDescent="0.25">
      <c r="A42" s="44"/>
      <c r="B42" s="45"/>
      <c r="C42" s="45"/>
      <c r="D42" s="46"/>
      <c r="E42" s="88"/>
      <c r="F42" s="89"/>
      <c r="G42" s="89"/>
      <c r="H42" s="89"/>
      <c r="I42" s="90"/>
    </row>
    <row r="43" spans="1:16" x14ac:dyDescent="0.25">
      <c r="A43" s="81" t="s">
        <v>18</v>
      </c>
      <c r="B43" s="53"/>
      <c r="C43" s="53"/>
      <c r="D43" s="53"/>
      <c r="E43" s="20"/>
      <c r="F43" s="20"/>
      <c r="G43" s="20"/>
      <c r="H43" s="20"/>
      <c r="I43" s="21"/>
    </row>
    <row r="44" spans="1:16" x14ac:dyDescent="0.25">
      <c r="A44" s="82"/>
      <c r="B44" s="83"/>
      <c r="C44" s="83"/>
      <c r="D44" s="83"/>
      <c r="I44" s="22"/>
    </row>
    <row r="45" spans="1:16" ht="15.75" customHeight="1" x14ac:dyDescent="0.25">
      <c r="A45" s="55"/>
      <c r="B45" s="49"/>
      <c r="C45" s="49"/>
      <c r="D45" s="49"/>
      <c r="E45" s="23"/>
      <c r="F45" s="23"/>
      <c r="G45" s="23"/>
      <c r="H45" s="23"/>
      <c r="I45" s="24"/>
    </row>
    <row r="46" spans="1:16" x14ac:dyDescent="0.25">
      <c r="A46" s="25"/>
    </row>
    <row r="49" spans="1:6" ht="33.75" customHeight="1" x14ac:dyDescent="0.25">
      <c r="A49" s="100"/>
      <c r="B49" s="61"/>
      <c r="C49" s="61"/>
      <c r="D49" s="61"/>
      <c r="E49" s="61"/>
      <c r="F49" s="61"/>
    </row>
    <row r="50" spans="1:6" ht="18" customHeight="1" x14ac:dyDescent="0.25">
      <c r="A50" s="91"/>
      <c r="B50" s="83"/>
    </row>
    <row r="52" spans="1:6" x14ac:dyDescent="0.25">
      <c r="D52" s="26"/>
    </row>
  </sheetData>
  <mergeCells count="43">
    <mergeCell ref="B1:G4"/>
    <mergeCell ref="H24:I24"/>
    <mergeCell ref="H15:I15"/>
    <mergeCell ref="H18:I18"/>
    <mergeCell ref="A8:C9"/>
    <mergeCell ref="H23:I23"/>
    <mergeCell ref="H14:I14"/>
    <mergeCell ref="D8:I9"/>
    <mergeCell ref="A50:B50"/>
    <mergeCell ref="A6:C7"/>
    <mergeCell ref="H33:I34"/>
    <mergeCell ref="H16:I16"/>
    <mergeCell ref="A33:D34"/>
    <mergeCell ref="A31:E32"/>
    <mergeCell ref="H19:I19"/>
    <mergeCell ref="A29:D30"/>
    <mergeCell ref="H22:I22"/>
    <mergeCell ref="H28:I28"/>
    <mergeCell ref="A37:C38"/>
    <mergeCell ref="H27:I27"/>
    <mergeCell ref="A49:F49"/>
    <mergeCell ref="H31:I32"/>
    <mergeCell ref="H26:I26"/>
    <mergeCell ref="A5:C5"/>
    <mergeCell ref="D6:I7"/>
    <mergeCell ref="A43:D45"/>
    <mergeCell ref="F29:G30"/>
    <mergeCell ref="E41:I42"/>
    <mergeCell ref="H17:I17"/>
    <mergeCell ref="D5:I5"/>
    <mergeCell ref="A41:D42"/>
    <mergeCell ref="A12:I12"/>
    <mergeCell ref="A39:I40"/>
    <mergeCell ref="H25:I25"/>
    <mergeCell ref="H21:I21"/>
    <mergeCell ref="F37:G38"/>
    <mergeCell ref="A10:C11"/>
    <mergeCell ref="F33:G34"/>
    <mergeCell ref="H20:I20"/>
    <mergeCell ref="G35:I36"/>
    <mergeCell ref="D10:I11"/>
    <mergeCell ref="A35:F36"/>
    <mergeCell ref="F31:G32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2"/>
  <sheetViews>
    <sheetView workbookViewId="0">
      <selection activeCell="B1" sqref="B1:G4"/>
    </sheetView>
  </sheetViews>
  <sheetFormatPr defaultRowHeight="15" x14ac:dyDescent="0.25"/>
  <cols>
    <col min="1" max="1" width="10" style="9" customWidth="1"/>
    <col min="2" max="2" width="10.85546875" style="9" bestFit="1" customWidth="1"/>
    <col min="3" max="3" width="9.140625" style="9" customWidth="1"/>
    <col min="4" max="4" width="12" style="9" customWidth="1"/>
    <col min="5" max="5" width="10.140625" style="9" bestFit="1" customWidth="1"/>
    <col min="6" max="6" width="10.85546875" style="9" customWidth="1"/>
    <col min="7" max="7" width="12.42578125" style="9" customWidth="1"/>
    <col min="8" max="8" width="2" style="9" customWidth="1"/>
    <col min="9" max="9" width="10.7109375" style="9" customWidth="1"/>
    <col min="10" max="10" width="9.140625" style="9" customWidth="1"/>
    <col min="11" max="11" width="16.5703125" style="9" customWidth="1"/>
    <col min="12" max="12" width="5.140625" style="9" customWidth="1"/>
    <col min="13" max="13" width="9" style="9" customWidth="1"/>
    <col min="14" max="14" width="6.85546875" style="9" customWidth="1"/>
    <col min="15" max="15" width="10.28515625" style="9" customWidth="1"/>
    <col min="16" max="16" width="11.5703125" style="9" customWidth="1"/>
    <col min="17" max="20" width="9.140625" style="9" customWidth="1"/>
    <col min="21" max="21" width="14" style="9" customWidth="1"/>
    <col min="22" max="22" width="11.140625" style="9" customWidth="1"/>
    <col min="23" max="40" width="9.140625" style="9" customWidth="1"/>
    <col min="41" max="16384" width="9.140625" style="9"/>
  </cols>
  <sheetData>
    <row r="1" spans="1:18" ht="15" customHeight="1" x14ac:dyDescent="0.25">
      <c r="A1" s="1"/>
      <c r="B1" s="107">
        <f>'Лист для коробки'!B1:G4</f>
        <v>0</v>
      </c>
      <c r="C1" s="53"/>
      <c r="D1" s="53"/>
      <c r="E1" s="53"/>
      <c r="F1" s="53"/>
      <c r="G1" s="53"/>
      <c r="H1" s="2"/>
      <c r="I1" s="3"/>
      <c r="J1" s="4"/>
      <c r="K1" s="28" t="s">
        <v>19</v>
      </c>
      <c r="L1" s="4"/>
      <c r="M1" s="4"/>
      <c r="N1" s="4"/>
      <c r="O1" s="4"/>
      <c r="P1" s="5"/>
    </row>
    <row r="2" spans="1:18" x14ac:dyDescent="0.25">
      <c r="A2" s="6"/>
      <c r="B2" s="83"/>
      <c r="C2" s="83"/>
      <c r="D2" s="83"/>
      <c r="E2" s="83"/>
      <c r="F2" s="83"/>
      <c r="G2" s="83"/>
      <c r="H2" s="4"/>
      <c r="I2" s="7"/>
      <c r="J2" s="4"/>
      <c r="K2" s="39"/>
      <c r="L2" s="4"/>
      <c r="M2" s="4"/>
      <c r="N2" s="4"/>
      <c r="O2" s="4"/>
      <c r="P2" s="8"/>
    </row>
    <row r="3" spans="1:18" x14ac:dyDescent="0.25">
      <c r="A3" s="6"/>
      <c r="B3" s="83"/>
      <c r="C3" s="83"/>
      <c r="D3" s="83"/>
      <c r="E3" s="83"/>
      <c r="F3" s="83"/>
      <c r="G3" s="83"/>
      <c r="H3" s="4"/>
      <c r="I3" s="7"/>
      <c r="J3" s="4"/>
      <c r="K3" s="4"/>
      <c r="L3" s="4"/>
      <c r="M3" s="4"/>
      <c r="N3" s="4"/>
      <c r="O3" s="4"/>
      <c r="P3" s="8"/>
    </row>
    <row r="4" spans="1:18" ht="8.25" customHeight="1" thickBot="1" x14ac:dyDescent="0.3">
      <c r="A4" s="6"/>
      <c r="B4" s="83"/>
      <c r="C4" s="83"/>
      <c r="D4" s="83"/>
      <c r="E4" s="83"/>
      <c r="F4" s="83"/>
      <c r="G4" s="83"/>
      <c r="H4" s="4"/>
      <c r="I4" s="7"/>
      <c r="J4" s="4"/>
      <c r="K4" s="4"/>
      <c r="L4" s="5"/>
      <c r="M4" s="4"/>
      <c r="N4" s="4"/>
      <c r="O4" s="4"/>
      <c r="P4" s="8"/>
    </row>
    <row r="5" spans="1:18" ht="30" customHeight="1" thickBot="1" x14ac:dyDescent="0.3">
      <c r="A5" s="73" t="s">
        <v>1</v>
      </c>
      <c r="B5" s="74"/>
      <c r="C5" s="75"/>
      <c r="D5" s="97"/>
      <c r="E5" s="98"/>
      <c r="F5" s="98"/>
      <c r="G5" s="98"/>
      <c r="H5" s="98"/>
      <c r="I5" s="51"/>
      <c r="J5" s="4"/>
      <c r="K5" s="4"/>
      <c r="L5" s="5"/>
      <c r="M5" s="4"/>
      <c r="N5" s="4"/>
      <c r="O5" s="4"/>
      <c r="P5" s="8"/>
      <c r="R5" s="27"/>
    </row>
    <row r="6" spans="1:18" ht="15" customHeight="1" x14ac:dyDescent="0.25">
      <c r="A6" s="92" t="s">
        <v>2</v>
      </c>
      <c r="B6" s="48"/>
      <c r="C6" s="93"/>
      <c r="D6" s="76"/>
      <c r="E6" s="77"/>
      <c r="F6" s="77"/>
      <c r="G6" s="77"/>
      <c r="H6" s="77"/>
      <c r="I6" s="78"/>
      <c r="K6" s="4"/>
      <c r="L6" s="10"/>
      <c r="M6" s="4"/>
      <c r="N6" s="4"/>
      <c r="P6" s="8"/>
    </row>
    <row r="7" spans="1:18" ht="15" customHeight="1" x14ac:dyDescent="0.25">
      <c r="A7" s="94"/>
      <c r="B7" s="49"/>
      <c r="C7" s="56"/>
      <c r="D7" s="79"/>
      <c r="E7" s="72"/>
      <c r="F7" s="72"/>
      <c r="G7" s="72"/>
      <c r="H7" s="72"/>
      <c r="I7" s="80"/>
      <c r="K7" s="4"/>
      <c r="M7" s="4"/>
      <c r="N7" s="4"/>
      <c r="P7" s="8"/>
    </row>
    <row r="8" spans="1:18" ht="12.75" customHeight="1" x14ac:dyDescent="0.25">
      <c r="A8" s="41" t="s">
        <v>3</v>
      </c>
      <c r="B8" s="42"/>
      <c r="C8" s="43"/>
      <c r="D8" s="103"/>
      <c r="E8" s="58"/>
      <c r="F8" s="58"/>
      <c r="G8" s="58"/>
      <c r="H8" s="58"/>
      <c r="I8" s="59"/>
      <c r="K8" s="4"/>
      <c r="M8" s="4"/>
      <c r="N8" s="4"/>
      <c r="P8" s="8"/>
    </row>
    <row r="9" spans="1:18" ht="11.25" customHeight="1" x14ac:dyDescent="0.25">
      <c r="A9" s="44"/>
      <c r="B9" s="45"/>
      <c r="C9" s="46"/>
      <c r="D9" s="104"/>
      <c r="E9" s="72"/>
      <c r="F9" s="72"/>
      <c r="G9" s="72"/>
      <c r="H9" s="72"/>
      <c r="I9" s="80"/>
      <c r="K9" s="4"/>
      <c r="M9" s="4"/>
      <c r="N9" s="4"/>
      <c r="P9" s="8"/>
    </row>
    <row r="10" spans="1:18" ht="20.25" customHeight="1" x14ac:dyDescent="0.25">
      <c r="A10" s="41" t="s">
        <v>4</v>
      </c>
      <c r="B10" s="42"/>
      <c r="C10" s="43"/>
      <c r="D10" s="57"/>
      <c r="E10" s="58"/>
      <c r="F10" s="58"/>
      <c r="G10" s="58"/>
      <c r="H10" s="58"/>
      <c r="I10" s="59"/>
      <c r="K10" s="4"/>
      <c r="M10" s="4"/>
      <c r="N10" s="4"/>
      <c r="P10" s="8"/>
    </row>
    <row r="11" spans="1:18" ht="19.5" customHeight="1" x14ac:dyDescent="0.25">
      <c r="A11" s="44"/>
      <c r="B11" s="45"/>
      <c r="C11" s="46"/>
      <c r="D11" s="60"/>
      <c r="E11" s="61"/>
      <c r="F11" s="61"/>
      <c r="G11" s="61"/>
      <c r="H11" s="61"/>
      <c r="I11" s="62"/>
      <c r="K11" s="4"/>
      <c r="M11" s="4"/>
      <c r="N11" s="4"/>
      <c r="O11" s="11"/>
      <c r="P11" s="8"/>
    </row>
    <row r="12" spans="1:18" ht="15.75" customHeight="1" thickBot="1" x14ac:dyDescent="0.3">
      <c r="A12" s="69"/>
      <c r="B12" s="42"/>
      <c r="C12" s="42"/>
      <c r="D12" s="42"/>
      <c r="E12" s="42"/>
      <c r="F12" s="42"/>
      <c r="G12" s="42"/>
      <c r="H12" s="42"/>
      <c r="I12" s="43"/>
      <c r="K12" s="4"/>
      <c r="M12" s="4"/>
      <c r="P12" s="11"/>
    </row>
    <row r="13" spans="1:18" ht="15.75" customHeight="1" thickBot="1" x14ac:dyDescent="0.3">
      <c r="A13" s="12" t="s">
        <v>20</v>
      </c>
      <c r="B13" s="12" t="s">
        <v>6</v>
      </c>
      <c r="C13" s="12" t="s">
        <v>7</v>
      </c>
      <c r="D13" s="12" t="s">
        <v>8</v>
      </c>
      <c r="E13" s="12" t="s">
        <v>20</v>
      </c>
      <c r="F13" s="12" t="s">
        <v>6</v>
      </c>
      <c r="G13" s="12" t="s">
        <v>9</v>
      </c>
      <c r="H13" s="12" t="s">
        <v>8</v>
      </c>
      <c r="I13" s="13"/>
      <c r="K13" s="4"/>
    </row>
    <row r="14" spans="1:18" ht="15.75" customHeight="1" thickBot="1" x14ac:dyDescent="0.3">
      <c r="A14" s="36">
        <v>1</v>
      </c>
      <c r="B14" s="35"/>
      <c r="C14" s="35"/>
      <c r="D14" s="37"/>
      <c r="E14" s="38">
        <v>16</v>
      </c>
      <c r="F14" s="35"/>
      <c r="G14" s="35"/>
      <c r="H14" s="105"/>
      <c r="I14" s="106"/>
      <c r="K14" s="4"/>
    </row>
    <row r="15" spans="1:18" ht="15.75" customHeight="1" thickBot="1" x14ac:dyDescent="0.3">
      <c r="A15" s="38">
        <v>2</v>
      </c>
      <c r="B15" s="35"/>
      <c r="C15" s="35"/>
      <c r="D15" s="37"/>
      <c r="E15" s="38">
        <v>17</v>
      </c>
      <c r="F15" s="35"/>
      <c r="G15" s="35"/>
      <c r="H15" s="105"/>
      <c r="I15" s="106"/>
    </row>
    <row r="16" spans="1:18" ht="15.75" customHeight="1" thickBot="1" x14ac:dyDescent="0.3">
      <c r="A16" s="38">
        <v>3</v>
      </c>
      <c r="B16" s="35"/>
      <c r="C16" s="35"/>
      <c r="D16" s="37"/>
      <c r="E16" s="38">
        <v>18</v>
      </c>
      <c r="F16" s="35"/>
      <c r="G16" s="35"/>
      <c r="H16" s="105"/>
      <c r="I16" s="106"/>
    </row>
    <row r="17" spans="1:16" ht="15.75" customHeight="1" thickBot="1" x14ac:dyDescent="0.3">
      <c r="A17" s="38">
        <v>4</v>
      </c>
      <c r="B17" s="35"/>
      <c r="C17" s="35"/>
      <c r="D17" s="37"/>
      <c r="E17" s="38">
        <v>19</v>
      </c>
      <c r="F17" s="35"/>
      <c r="G17" s="35"/>
      <c r="H17" s="105"/>
      <c r="I17" s="106"/>
    </row>
    <row r="18" spans="1:16" ht="15.75" customHeight="1" thickBot="1" x14ac:dyDescent="0.3">
      <c r="A18" s="38">
        <v>5</v>
      </c>
      <c r="B18" s="35"/>
      <c r="C18" s="35"/>
      <c r="D18" s="37"/>
      <c r="E18" s="38">
        <v>20</v>
      </c>
      <c r="F18" s="35"/>
      <c r="G18" s="35"/>
      <c r="H18" s="105"/>
      <c r="I18" s="106"/>
    </row>
    <row r="19" spans="1:16" ht="15.75" customHeight="1" thickBot="1" x14ac:dyDescent="0.3">
      <c r="A19" s="38">
        <v>6</v>
      </c>
      <c r="B19" s="35"/>
      <c r="C19" s="35"/>
      <c r="D19" s="37"/>
      <c r="E19" s="38">
        <v>21</v>
      </c>
      <c r="F19" s="35"/>
      <c r="G19" s="35"/>
      <c r="H19" s="105"/>
      <c r="I19" s="106"/>
    </row>
    <row r="20" spans="1:16" ht="15.75" customHeight="1" thickBot="1" x14ac:dyDescent="0.3">
      <c r="A20" s="38">
        <v>7</v>
      </c>
      <c r="B20" s="35"/>
      <c r="C20" s="35"/>
      <c r="D20" s="37"/>
      <c r="E20" s="38">
        <v>22</v>
      </c>
      <c r="F20" s="35"/>
      <c r="G20" s="35"/>
      <c r="H20" s="105"/>
      <c r="I20" s="106"/>
    </row>
    <row r="21" spans="1:16" ht="15.75" customHeight="1" thickBot="1" x14ac:dyDescent="0.3">
      <c r="A21" s="38">
        <v>8</v>
      </c>
      <c r="B21" s="35"/>
      <c r="C21" s="35"/>
      <c r="D21" s="37"/>
      <c r="E21" s="38">
        <v>23</v>
      </c>
      <c r="F21" s="35"/>
      <c r="G21" s="35"/>
      <c r="H21" s="105"/>
      <c r="I21" s="106"/>
    </row>
    <row r="22" spans="1:16" ht="15.75" customHeight="1" thickBot="1" x14ac:dyDescent="0.3">
      <c r="A22" s="38">
        <v>9</v>
      </c>
      <c r="B22" s="35"/>
      <c r="C22" s="35"/>
      <c r="D22" s="37"/>
      <c r="E22" s="38">
        <v>24</v>
      </c>
      <c r="F22" s="35"/>
      <c r="G22" s="35"/>
      <c r="H22" s="105"/>
      <c r="I22" s="106"/>
    </row>
    <row r="23" spans="1:16" ht="15.75" customHeight="1" thickBot="1" x14ac:dyDescent="0.3">
      <c r="A23" s="38">
        <v>10</v>
      </c>
      <c r="B23" s="35"/>
      <c r="C23" s="35"/>
      <c r="D23" s="37"/>
      <c r="E23" s="38">
        <v>25</v>
      </c>
      <c r="F23" s="35"/>
      <c r="G23" s="35"/>
      <c r="H23" s="105"/>
      <c r="I23" s="106"/>
    </row>
    <row r="24" spans="1:16" ht="15.75" customHeight="1" thickBot="1" x14ac:dyDescent="0.3">
      <c r="A24" s="38">
        <v>11</v>
      </c>
      <c r="B24" s="35"/>
      <c r="C24" s="35"/>
      <c r="D24" s="37"/>
      <c r="E24" s="38">
        <v>26</v>
      </c>
      <c r="F24" s="35"/>
      <c r="G24" s="35"/>
      <c r="H24" s="105"/>
      <c r="I24" s="106"/>
    </row>
    <row r="25" spans="1:16" ht="15.75" customHeight="1" thickBot="1" x14ac:dyDescent="0.3">
      <c r="A25" s="38">
        <v>12</v>
      </c>
      <c r="B25" s="35"/>
      <c r="C25" s="35"/>
      <c r="D25" s="37"/>
      <c r="E25" s="38">
        <v>27</v>
      </c>
      <c r="F25" s="35"/>
      <c r="G25" s="35"/>
      <c r="H25" s="105"/>
      <c r="I25" s="106"/>
    </row>
    <row r="26" spans="1:16" ht="15" customHeight="1" thickBot="1" x14ac:dyDescent="0.3">
      <c r="A26" s="38">
        <v>13</v>
      </c>
      <c r="B26" s="35"/>
      <c r="C26" s="35"/>
      <c r="D26" s="37"/>
      <c r="E26" s="38">
        <v>28</v>
      </c>
      <c r="F26" s="35"/>
      <c r="G26" s="35"/>
      <c r="H26" s="105"/>
      <c r="I26" s="106"/>
    </row>
    <row r="27" spans="1:16" ht="15.75" customHeight="1" thickBot="1" x14ac:dyDescent="0.3">
      <c r="A27" s="36">
        <v>14</v>
      </c>
      <c r="B27" s="35"/>
      <c r="C27" s="35"/>
      <c r="D27" s="37"/>
      <c r="E27" s="38">
        <v>29</v>
      </c>
      <c r="F27" s="35"/>
      <c r="G27" s="35"/>
      <c r="H27" s="105"/>
      <c r="I27" s="106"/>
    </row>
    <row r="28" spans="1:16" ht="15.75" customHeight="1" thickBot="1" x14ac:dyDescent="0.3">
      <c r="A28" s="36">
        <v>15</v>
      </c>
      <c r="B28" s="35"/>
      <c r="C28" s="35"/>
      <c r="D28" s="37"/>
      <c r="E28" s="38">
        <v>30</v>
      </c>
      <c r="F28" s="35"/>
      <c r="G28" s="35"/>
      <c r="H28" s="105"/>
      <c r="I28" s="106"/>
    </row>
    <row r="29" spans="1:16" ht="15" customHeight="1" x14ac:dyDescent="0.3">
      <c r="A29" s="99" t="s">
        <v>21</v>
      </c>
      <c r="B29" s="83"/>
      <c r="C29" s="83"/>
      <c r="D29" s="83"/>
      <c r="E29" s="14"/>
      <c r="F29" s="84">
        <f>COUNT(B14:B28)+COUNT(F14:F28)</f>
        <v>0</v>
      </c>
      <c r="G29" s="83"/>
      <c r="H29" s="14"/>
      <c r="I29" s="15"/>
      <c r="P29" s="11"/>
    </row>
    <row r="30" spans="1:16" ht="15" customHeight="1" thickBot="1" x14ac:dyDescent="0.35">
      <c r="A30" s="55"/>
      <c r="B30" s="49"/>
      <c r="C30" s="49"/>
      <c r="D30" s="49"/>
      <c r="E30" s="16"/>
      <c r="F30" s="49"/>
      <c r="G30" s="49"/>
      <c r="H30" s="16"/>
      <c r="I30" s="17"/>
      <c r="L30" s="11"/>
      <c r="P30" s="11"/>
    </row>
    <row r="31" spans="1:16" ht="15" customHeight="1" thickBot="1" x14ac:dyDescent="0.3">
      <c r="A31" s="63" t="s">
        <v>22</v>
      </c>
      <c r="B31" s="53"/>
      <c r="C31" s="53"/>
      <c r="D31" s="53"/>
      <c r="E31" s="53"/>
      <c r="F31" s="64">
        <f>SUM(B14:B28)+SUM(F14:F28)+K2</f>
        <v>0</v>
      </c>
      <c r="G31" s="65"/>
      <c r="H31" s="102" t="s">
        <v>12</v>
      </c>
      <c r="I31" s="54"/>
      <c r="P31" s="11"/>
    </row>
    <row r="32" spans="1:16" ht="15" customHeight="1" thickBot="1" x14ac:dyDescent="0.3">
      <c r="A32" s="55"/>
      <c r="B32" s="49"/>
      <c r="C32" s="49"/>
      <c r="D32" s="49"/>
      <c r="E32" s="49"/>
      <c r="F32" s="66"/>
      <c r="G32" s="67"/>
      <c r="H32" s="83"/>
      <c r="I32" s="96"/>
    </row>
    <row r="33" spans="1:16" ht="15" customHeight="1" x14ac:dyDescent="0.3">
      <c r="A33" s="63" t="s">
        <v>13</v>
      </c>
      <c r="B33" s="53"/>
      <c r="C33" s="53"/>
      <c r="D33" s="53"/>
      <c r="E33" s="14"/>
      <c r="F33" s="47">
        <f>SUM(C14:C28)+SUM(G14:G28)</f>
        <v>0</v>
      </c>
      <c r="G33" s="48"/>
      <c r="H33" s="95" t="s">
        <v>12</v>
      </c>
      <c r="I33" s="96"/>
      <c r="P33" s="11"/>
    </row>
    <row r="34" spans="1:16" ht="15" customHeight="1" x14ac:dyDescent="0.3">
      <c r="A34" s="55"/>
      <c r="B34" s="49"/>
      <c r="C34" s="49"/>
      <c r="D34" s="49"/>
      <c r="E34" s="14"/>
      <c r="F34" s="49"/>
      <c r="G34" s="49"/>
      <c r="H34" s="49"/>
      <c r="I34" s="56"/>
      <c r="P34" s="11"/>
    </row>
    <row r="35" spans="1:16" ht="15" customHeight="1" x14ac:dyDescent="0.25">
      <c r="A35" s="63" t="s">
        <v>14</v>
      </c>
      <c r="B35" s="53"/>
      <c r="C35" s="53"/>
      <c r="D35" s="53"/>
      <c r="E35" s="53"/>
      <c r="F35" s="53"/>
      <c r="G35" s="52">
        <f>SUM(D14:D28)+SUM(H14:H28)</f>
        <v>0</v>
      </c>
      <c r="H35" s="53"/>
      <c r="I35" s="54"/>
    </row>
    <row r="36" spans="1:16" ht="18.75" customHeight="1" x14ac:dyDescent="0.25">
      <c r="A36" s="55"/>
      <c r="B36" s="49"/>
      <c r="C36" s="49"/>
      <c r="D36" s="49"/>
      <c r="E36" s="49"/>
      <c r="F36" s="49"/>
      <c r="G36" s="55"/>
      <c r="H36" s="49"/>
      <c r="I36" s="56"/>
    </row>
    <row r="37" spans="1:16" ht="15" customHeight="1" x14ac:dyDescent="0.3">
      <c r="A37" s="63" t="s">
        <v>15</v>
      </c>
      <c r="B37" s="53"/>
      <c r="C37" s="53"/>
      <c r="D37" s="18"/>
      <c r="E37" s="18"/>
      <c r="F37" s="71"/>
      <c r="G37" s="58"/>
      <c r="H37" s="18"/>
      <c r="I37" s="19"/>
    </row>
    <row r="38" spans="1:16" ht="15" customHeight="1" x14ac:dyDescent="0.3">
      <c r="A38" s="55"/>
      <c r="B38" s="49"/>
      <c r="C38" s="49"/>
      <c r="D38" s="16"/>
      <c r="E38" s="16"/>
      <c r="F38" s="72"/>
      <c r="G38" s="72"/>
      <c r="H38" s="16"/>
      <c r="I38" s="17"/>
    </row>
    <row r="39" spans="1:16" x14ac:dyDescent="0.25">
      <c r="A39" s="70" t="s">
        <v>16</v>
      </c>
      <c r="B39" s="42"/>
      <c r="C39" s="42"/>
      <c r="D39" s="42"/>
      <c r="E39" s="42"/>
      <c r="F39" s="42"/>
      <c r="G39" s="42"/>
      <c r="H39" s="42"/>
      <c r="I39" s="43"/>
    </row>
    <row r="40" spans="1:16" x14ac:dyDescent="0.25">
      <c r="A40" s="44"/>
      <c r="B40" s="45"/>
      <c r="C40" s="45"/>
      <c r="D40" s="45"/>
      <c r="E40" s="45"/>
      <c r="F40" s="45"/>
      <c r="G40" s="45"/>
      <c r="H40" s="45"/>
      <c r="I40" s="46"/>
    </row>
    <row r="41" spans="1:16" ht="11.25" customHeight="1" x14ac:dyDescent="0.25">
      <c r="A41" s="68" t="s">
        <v>17</v>
      </c>
      <c r="B41" s="42"/>
      <c r="C41" s="42"/>
      <c r="D41" s="43"/>
      <c r="E41" s="85"/>
      <c r="F41" s="86"/>
      <c r="G41" s="86"/>
      <c r="H41" s="86"/>
      <c r="I41" s="87"/>
    </row>
    <row r="42" spans="1:16" ht="12.75" customHeight="1" x14ac:dyDescent="0.25">
      <c r="A42" s="44"/>
      <c r="B42" s="45"/>
      <c r="C42" s="45"/>
      <c r="D42" s="46"/>
      <c r="E42" s="88"/>
      <c r="F42" s="89"/>
      <c r="G42" s="89"/>
      <c r="H42" s="89"/>
      <c r="I42" s="90"/>
    </row>
    <row r="43" spans="1:16" x14ac:dyDescent="0.25">
      <c r="A43" s="81" t="s">
        <v>18</v>
      </c>
      <c r="B43" s="53"/>
      <c r="C43" s="53"/>
      <c r="D43" s="53"/>
      <c r="E43" s="20"/>
      <c r="F43" s="20"/>
      <c r="G43" s="20"/>
      <c r="H43" s="20"/>
      <c r="I43" s="21"/>
    </row>
    <row r="44" spans="1:16" x14ac:dyDescent="0.25">
      <c r="A44" s="82"/>
      <c r="B44" s="83"/>
      <c r="C44" s="83"/>
      <c r="D44" s="83"/>
      <c r="I44" s="22"/>
    </row>
    <row r="45" spans="1:16" ht="15.75" customHeight="1" x14ac:dyDescent="0.25">
      <c r="A45" s="55"/>
      <c r="B45" s="49"/>
      <c r="C45" s="49"/>
      <c r="D45" s="49"/>
      <c r="E45" s="23"/>
      <c r="F45" s="23"/>
      <c r="G45" s="23"/>
      <c r="H45" s="23"/>
      <c r="I45" s="24"/>
    </row>
    <row r="46" spans="1:16" x14ac:dyDescent="0.25">
      <c r="A46" s="25"/>
    </row>
    <row r="49" spans="1:6" ht="33.75" customHeight="1" x14ac:dyDescent="0.25">
      <c r="A49" s="100"/>
      <c r="B49" s="61"/>
      <c r="C49" s="61"/>
      <c r="D49" s="61"/>
      <c r="E49" s="61"/>
      <c r="F49" s="61"/>
    </row>
    <row r="50" spans="1:6" ht="18" customHeight="1" x14ac:dyDescent="0.25">
      <c r="A50" s="91"/>
      <c r="B50" s="83"/>
    </row>
    <row r="52" spans="1:6" x14ac:dyDescent="0.25">
      <c r="D52" s="26"/>
    </row>
  </sheetData>
  <mergeCells count="43">
    <mergeCell ref="B1:G4"/>
    <mergeCell ref="H24:I24"/>
    <mergeCell ref="H18:I18"/>
    <mergeCell ref="H15:I15"/>
    <mergeCell ref="A8:C9"/>
    <mergeCell ref="H23:I23"/>
    <mergeCell ref="H14:I14"/>
    <mergeCell ref="D8:I9"/>
    <mergeCell ref="A50:B50"/>
    <mergeCell ref="A6:C7"/>
    <mergeCell ref="H33:I34"/>
    <mergeCell ref="H16:I16"/>
    <mergeCell ref="A33:D34"/>
    <mergeCell ref="A31:E32"/>
    <mergeCell ref="H19:I19"/>
    <mergeCell ref="A29:D30"/>
    <mergeCell ref="H22:I22"/>
    <mergeCell ref="H28:I28"/>
    <mergeCell ref="A37:C38"/>
    <mergeCell ref="H27:I27"/>
    <mergeCell ref="A49:F49"/>
    <mergeCell ref="H31:I32"/>
    <mergeCell ref="H26:I26"/>
    <mergeCell ref="A5:C5"/>
    <mergeCell ref="D6:I7"/>
    <mergeCell ref="A43:D45"/>
    <mergeCell ref="E41:I42"/>
    <mergeCell ref="F29:G30"/>
    <mergeCell ref="H17:I17"/>
    <mergeCell ref="D5:I5"/>
    <mergeCell ref="A41:D42"/>
    <mergeCell ref="A12:I12"/>
    <mergeCell ref="A39:I40"/>
    <mergeCell ref="H25:I25"/>
    <mergeCell ref="H21:I21"/>
    <mergeCell ref="F37:G38"/>
    <mergeCell ref="A10:C11"/>
    <mergeCell ref="F33:G34"/>
    <mergeCell ref="H20:I20"/>
    <mergeCell ref="G35:I36"/>
    <mergeCell ref="D10:I11"/>
    <mergeCell ref="A35:F36"/>
    <mergeCell ref="F31:G32"/>
  </mergeCells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2"/>
  <sheetViews>
    <sheetView zoomScaleNormal="100" workbookViewId="0">
      <selection activeCell="K16" sqref="K16"/>
    </sheetView>
  </sheetViews>
  <sheetFormatPr defaultRowHeight="15" x14ac:dyDescent="0.25"/>
  <cols>
    <col min="1" max="1" width="8.85546875" style="9" customWidth="1"/>
    <col min="2" max="2" width="10.85546875" style="9" bestFit="1" customWidth="1"/>
    <col min="3" max="3" width="9.140625" style="9" customWidth="1"/>
    <col min="4" max="4" width="16" style="9" customWidth="1"/>
    <col min="5" max="5" width="13.28515625" style="9" customWidth="1"/>
    <col min="6" max="6" width="9.42578125" style="9" customWidth="1"/>
    <col min="7" max="7" width="8.42578125" style="9" customWidth="1"/>
    <col min="8" max="8" width="11.42578125" style="9" customWidth="1"/>
    <col min="9" max="9" width="9.140625" style="9" customWidth="1"/>
    <col min="10" max="10" width="16.5703125" style="9" customWidth="1"/>
    <col min="11" max="11" width="16" style="9" customWidth="1"/>
    <col min="12" max="12" width="9" style="9" customWidth="1"/>
    <col min="13" max="13" width="6.85546875" style="9" customWidth="1"/>
    <col min="14" max="14" width="10.28515625" style="9" customWidth="1"/>
    <col min="15" max="15" width="11.5703125" style="9" customWidth="1"/>
    <col min="16" max="19" width="9.140625" style="9" customWidth="1"/>
    <col min="20" max="20" width="14" style="9" customWidth="1"/>
    <col min="21" max="21" width="11.140625" style="9" customWidth="1"/>
    <col min="22" max="39" width="9.140625" style="9" customWidth="1"/>
    <col min="40" max="16384" width="9.140625" style="9"/>
  </cols>
  <sheetData>
    <row r="1" spans="1:17" ht="15" customHeight="1" x14ac:dyDescent="0.25">
      <c r="A1" s="1"/>
      <c r="B1" s="112">
        <f>'Лист для коробки'!B1:G4</f>
        <v>0</v>
      </c>
      <c r="C1" s="53"/>
      <c r="D1" s="53"/>
      <c r="E1" s="53"/>
      <c r="F1" s="53"/>
      <c r="G1" s="53"/>
      <c r="H1" s="3"/>
      <c r="I1" s="4"/>
      <c r="J1" s="28"/>
      <c r="K1" s="28" t="s">
        <v>19</v>
      </c>
      <c r="L1" s="4"/>
      <c r="M1" s="4"/>
      <c r="N1" s="4"/>
      <c r="O1" s="5"/>
    </row>
    <row r="2" spans="1:17" x14ac:dyDescent="0.25">
      <c r="A2" s="6"/>
      <c r="B2" s="83"/>
      <c r="C2" s="83"/>
      <c r="D2" s="83"/>
      <c r="E2" s="83"/>
      <c r="F2" s="83"/>
      <c r="G2" s="83"/>
      <c r="H2" s="7"/>
      <c r="I2" s="4"/>
      <c r="J2" s="31"/>
      <c r="K2" s="31"/>
      <c r="L2" s="4"/>
      <c r="M2" s="4"/>
      <c r="N2" s="4"/>
      <c r="O2" s="8"/>
    </row>
    <row r="3" spans="1:17" x14ac:dyDescent="0.25">
      <c r="A3" s="6"/>
      <c r="B3" s="83"/>
      <c r="C3" s="83"/>
      <c r="D3" s="83"/>
      <c r="E3" s="83"/>
      <c r="F3" s="83"/>
      <c r="G3" s="83"/>
      <c r="H3" s="7"/>
      <c r="I3" s="4"/>
      <c r="J3" s="4"/>
      <c r="K3" s="4"/>
      <c r="L3" s="4"/>
      <c r="M3" s="4"/>
      <c r="N3" s="4"/>
      <c r="O3" s="8"/>
    </row>
    <row r="4" spans="1:17" ht="8.25" customHeight="1" thickBot="1" x14ac:dyDescent="0.3">
      <c r="A4" s="6"/>
      <c r="B4" s="83"/>
      <c r="C4" s="83"/>
      <c r="D4" s="83"/>
      <c r="E4" s="83"/>
      <c r="F4" s="83"/>
      <c r="G4" s="83"/>
      <c r="H4" s="7"/>
      <c r="I4" s="4"/>
      <c r="J4" s="4"/>
      <c r="K4" s="5"/>
      <c r="L4" s="4"/>
      <c r="M4" s="4"/>
      <c r="N4" s="4"/>
      <c r="O4" s="8"/>
    </row>
    <row r="5" spans="1:17" ht="30" customHeight="1" thickBot="1" x14ac:dyDescent="0.4">
      <c r="A5" s="111" t="s">
        <v>1</v>
      </c>
      <c r="B5" s="74"/>
      <c r="C5" s="75"/>
      <c r="D5" s="97"/>
      <c r="E5" s="98"/>
      <c r="F5" s="98"/>
      <c r="G5" s="98"/>
      <c r="H5" s="51"/>
      <c r="I5" s="4"/>
      <c r="J5" s="4"/>
      <c r="K5" s="5"/>
      <c r="L5" s="4"/>
      <c r="M5" s="4"/>
      <c r="N5" s="4"/>
      <c r="O5" s="8"/>
      <c r="Q5" s="27"/>
    </row>
    <row r="6" spans="1:17" ht="15" customHeight="1" x14ac:dyDescent="0.25">
      <c r="A6" s="92" t="s">
        <v>2</v>
      </c>
      <c r="B6" s="48"/>
      <c r="C6" s="93"/>
      <c r="D6" s="76"/>
      <c r="E6" s="77"/>
      <c r="F6" s="77"/>
      <c r="G6" s="77"/>
      <c r="H6" s="78"/>
      <c r="J6" s="4"/>
      <c r="K6" s="10"/>
      <c r="L6" s="4"/>
      <c r="M6" s="4"/>
      <c r="O6" s="8"/>
    </row>
    <row r="7" spans="1:17" ht="15" customHeight="1" x14ac:dyDescent="0.25">
      <c r="A7" s="94"/>
      <c r="B7" s="49"/>
      <c r="C7" s="56"/>
      <c r="D7" s="79"/>
      <c r="E7" s="72"/>
      <c r="F7" s="72"/>
      <c r="G7" s="72"/>
      <c r="H7" s="80"/>
      <c r="J7" s="4"/>
      <c r="L7" s="4"/>
      <c r="M7" s="4"/>
      <c r="O7" s="8"/>
    </row>
    <row r="8" spans="1:17" ht="12.75" customHeight="1" x14ac:dyDescent="0.25">
      <c r="A8" s="113" t="s">
        <v>3</v>
      </c>
      <c r="B8" s="42"/>
      <c r="C8" s="43"/>
      <c r="D8" s="103"/>
      <c r="E8" s="58"/>
      <c r="F8" s="58"/>
      <c r="G8" s="58"/>
      <c r="H8" s="59"/>
      <c r="J8" s="4"/>
      <c r="L8" s="4"/>
      <c r="M8" s="4"/>
      <c r="O8" s="8"/>
    </row>
    <row r="9" spans="1:17" ht="12.75" customHeight="1" thickBot="1" x14ac:dyDescent="0.3">
      <c r="A9" s="44"/>
      <c r="B9" s="45"/>
      <c r="C9" s="46"/>
      <c r="D9" s="104"/>
      <c r="E9" s="72"/>
      <c r="F9" s="72"/>
      <c r="G9" s="72"/>
      <c r="H9" s="80"/>
      <c r="J9" s="4"/>
      <c r="L9" s="4"/>
      <c r="M9" s="4"/>
      <c r="O9" s="8"/>
    </row>
    <row r="10" spans="1:17" ht="30" customHeight="1" thickBot="1" x14ac:dyDescent="0.4">
      <c r="A10" s="32" t="s">
        <v>23</v>
      </c>
      <c r="B10" s="114" t="s">
        <v>24</v>
      </c>
      <c r="C10" s="74"/>
      <c r="D10" s="74"/>
      <c r="E10" s="75"/>
      <c r="F10" s="12" t="s">
        <v>6</v>
      </c>
      <c r="G10" s="12" t="s">
        <v>9</v>
      </c>
      <c r="H10" s="32" t="s">
        <v>25</v>
      </c>
      <c r="J10" s="4"/>
      <c r="L10" s="4"/>
      <c r="M10" s="4"/>
      <c r="O10" s="8"/>
    </row>
    <row r="11" spans="1:17" ht="16.5" customHeight="1" thickBot="1" x14ac:dyDescent="0.3">
      <c r="A11" s="34"/>
      <c r="B11" s="108"/>
      <c r="C11" s="98"/>
      <c r="D11" s="98"/>
      <c r="E11" s="109"/>
      <c r="F11" s="35"/>
      <c r="G11" s="35"/>
      <c r="H11" s="34"/>
      <c r="J11" s="4"/>
      <c r="L11" s="4"/>
      <c r="M11" s="4"/>
      <c r="N11" s="11"/>
      <c r="O11" s="8"/>
    </row>
    <row r="12" spans="1:17" ht="15.75" customHeight="1" thickBot="1" x14ac:dyDescent="0.3">
      <c r="A12" s="34"/>
      <c r="B12" s="108"/>
      <c r="C12" s="98"/>
      <c r="D12" s="98"/>
      <c r="E12" s="109"/>
      <c r="F12" s="35"/>
      <c r="G12" s="35"/>
      <c r="H12" s="34"/>
      <c r="J12" s="4"/>
      <c r="L12" s="4"/>
      <c r="O12" s="11"/>
    </row>
    <row r="13" spans="1:17" ht="15.75" customHeight="1" thickBot="1" x14ac:dyDescent="0.3">
      <c r="A13" s="34"/>
      <c r="B13" s="108"/>
      <c r="C13" s="98"/>
      <c r="D13" s="98"/>
      <c r="E13" s="109"/>
      <c r="F13" s="35"/>
      <c r="G13" s="35"/>
      <c r="H13" s="34"/>
      <c r="J13" s="4"/>
    </row>
    <row r="14" spans="1:17" ht="15.75" customHeight="1" thickBot="1" x14ac:dyDescent="0.3">
      <c r="A14" s="34"/>
      <c r="B14" s="108"/>
      <c r="C14" s="98"/>
      <c r="D14" s="98"/>
      <c r="E14" s="109"/>
      <c r="F14" s="35"/>
      <c r="G14" s="35"/>
      <c r="H14" s="34"/>
      <c r="J14" s="4"/>
    </row>
    <row r="15" spans="1:17" ht="15.75" customHeight="1" thickBot="1" x14ac:dyDescent="0.3">
      <c r="A15" s="34"/>
      <c r="B15" s="108"/>
      <c r="C15" s="98"/>
      <c r="D15" s="98"/>
      <c r="E15" s="109"/>
      <c r="F15" s="35"/>
      <c r="G15" s="35"/>
      <c r="H15" s="34"/>
    </row>
    <row r="16" spans="1:17" ht="15.75" customHeight="1" thickBot="1" x14ac:dyDescent="0.3">
      <c r="A16" s="34"/>
      <c r="B16" s="108"/>
      <c r="C16" s="98"/>
      <c r="D16" s="98"/>
      <c r="E16" s="109"/>
      <c r="F16" s="35"/>
      <c r="G16" s="35"/>
      <c r="H16" s="34"/>
    </row>
    <row r="17" spans="1:15" ht="15.75" customHeight="1" thickBot="1" x14ac:dyDescent="0.3">
      <c r="A17" s="34"/>
      <c r="B17" s="108"/>
      <c r="C17" s="98"/>
      <c r="D17" s="98"/>
      <c r="E17" s="109"/>
      <c r="F17" s="35"/>
      <c r="G17" s="35"/>
      <c r="H17" s="34"/>
    </row>
    <row r="18" spans="1:15" ht="15.75" customHeight="1" thickBot="1" x14ac:dyDescent="0.3">
      <c r="A18" s="34"/>
      <c r="B18" s="108"/>
      <c r="C18" s="98"/>
      <c r="D18" s="98"/>
      <c r="E18" s="109"/>
      <c r="F18" s="35"/>
      <c r="G18" s="35"/>
      <c r="H18" s="34"/>
    </row>
    <row r="19" spans="1:15" ht="15.75" customHeight="1" thickBot="1" x14ac:dyDescent="0.3">
      <c r="A19" s="34"/>
      <c r="B19" s="108"/>
      <c r="C19" s="98"/>
      <c r="D19" s="98"/>
      <c r="E19" s="109"/>
      <c r="F19" s="35"/>
      <c r="G19" s="35"/>
      <c r="H19" s="34"/>
    </row>
    <row r="20" spans="1:15" ht="15.75" customHeight="1" thickBot="1" x14ac:dyDescent="0.3">
      <c r="A20" s="34"/>
      <c r="B20" s="108"/>
      <c r="C20" s="98"/>
      <c r="D20" s="98"/>
      <c r="E20" s="109"/>
      <c r="F20" s="35"/>
      <c r="G20" s="35"/>
      <c r="H20" s="34"/>
    </row>
    <row r="21" spans="1:15" ht="15.75" customHeight="1" thickBot="1" x14ac:dyDescent="0.3">
      <c r="A21" s="34"/>
      <c r="B21" s="108"/>
      <c r="C21" s="98"/>
      <c r="D21" s="98"/>
      <c r="E21" s="109"/>
      <c r="F21" s="35"/>
      <c r="G21" s="35"/>
      <c r="H21" s="34"/>
    </row>
    <row r="22" spans="1:15" ht="15.75" customHeight="1" thickBot="1" x14ac:dyDescent="0.3">
      <c r="A22" s="34"/>
      <c r="B22" s="108"/>
      <c r="C22" s="98"/>
      <c r="D22" s="98"/>
      <c r="E22" s="109"/>
      <c r="F22" s="35"/>
      <c r="G22" s="35"/>
      <c r="H22" s="34"/>
    </row>
    <row r="23" spans="1:15" ht="15.75" customHeight="1" thickBot="1" x14ac:dyDescent="0.3">
      <c r="A23" s="34"/>
      <c r="B23" s="108"/>
      <c r="C23" s="98"/>
      <c r="D23" s="98"/>
      <c r="E23" s="109"/>
      <c r="F23" s="35"/>
      <c r="G23" s="35"/>
      <c r="H23" s="34"/>
    </row>
    <row r="24" spans="1:15" ht="15.75" customHeight="1" thickBot="1" x14ac:dyDescent="0.3">
      <c r="A24" s="34"/>
      <c r="B24" s="108"/>
      <c r="C24" s="98"/>
      <c r="D24" s="98"/>
      <c r="E24" s="109"/>
      <c r="F24" s="35"/>
      <c r="G24" s="35"/>
      <c r="H24" s="34"/>
    </row>
    <row r="25" spans="1:15" ht="15.75" customHeight="1" thickBot="1" x14ac:dyDescent="0.3">
      <c r="A25" s="34"/>
      <c r="B25" s="108"/>
      <c r="C25" s="98"/>
      <c r="D25" s="98"/>
      <c r="E25" s="109"/>
      <c r="F25" s="35"/>
      <c r="G25" s="35"/>
      <c r="H25" s="34"/>
    </row>
    <row r="26" spans="1:15" ht="15" customHeight="1" thickBot="1" x14ac:dyDescent="0.3">
      <c r="A26" s="34"/>
      <c r="B26" s="108"/>
      <c r="C26" s="98"/>
      <c r="D26" s="98"/>
      <c r="E26" s="109"/>
      <c r="F26" s="35"/>
      <c r="G26" s="35"/>
      <c r="H26" s="34"/>
    </row>
    <row r="27" spans="1:15" ht="15.75" customHeight="1" thickBot="1" x14ac:dyDescent="0.3">
      <c r="A27" s="34"/>
      <c r="B27" s="108"/>
      <c r="C27" s="98"/>
      <c r="D27" s="98"/>
      <c r="E27" s="109"/>
      <c r="F27" s="35"/>
      <c r="G27" s="35"/>
      <c r="H27" s="34"/>
    </row>
    <row r="28" spans="1:15" ht="15.75" customHeight="1" thickBot="1" x14ac:dyDescent="0.3">
      <c r="A28" s="34"/>
      <c r="B28" s="108"/>
      <c r="C28" s="98"/>
      <c r="D28" s="98"/>
      <c r="E28" s="109"/>
      <c r="F28" s="35"/>
      <c r="G28" s="35"/>
      <c r="H28" s="34"/>
    </row>
    <row r="29" spans="1:15" ht="15" customHeight="1" x14ac:dyDescent="0.3">
      <c r="A29" s="99" t="s">
        <v>26</v>
      </c>
      <c r="B29" s="83"/>
      <c r="C29" s="83"/>
      <c r="D29" s="83"/>
      <c r="E29" s="14"/>
      <c r="F29" s="84">
        <f>SUM(A11:A28)</f>
        <v>0</v>
      </c>
      <c r="G29" s="83"/>
      <c r="H29" s="15"/>
      <c r="O29" s="11"/>
    </row>
    <row r="30" spans="1:15" ht="15" customHeight="1" thickBot="1" x14ac:dyDescent="0.35">
      <c r="A30" s="55"/>
      <c r="B30" s="49"/>
      <c r="C30" s="49"/>
      <c r="D30" s="49"/>
      <c r="E30" s="16"/>
      <c r="F30" s="49"/>
      <c r="G30" s="49"/>
      <c r="H30" s="17"/>
      <c r="K30" s="11"/>
      <c r="O30" s="11"/>
    </row>
    <row r="31" spans="1:15" ht="15" customHeight="1" thickBot="1" x14ac:dyDescent="0.3">
      <c r="A31" s="63" t="s">
        <v>22</v>
      </c>
      <c r="B31" s="53"/>
      <c r="C31" s="53"/>
      <c r="D31" s="53"/>
      <c r="E31" s="53"/>
      <c r="F31" s="64">
        <f>SUM(F11:F28)+K2</f>
        <v>0</v>
      </c>
      <c r="G31" s="65"/>
      <c r="H31" s="110" t="s">
        <v>12</v>
      </c>
      <c r="O31" s="11"/>
    </row>
    <row r="32" spans="1:15" ht="15" customHeight="1" thickBot="1" x14ac:dyDescent="0.3">
      <c r="A32" s="55"/>
      <c r="B32" s="49"/>
      <c r="C32" s="49"/>
      <c r="D32" s="49"/>
      <c r="E32" s="49"/>
      <c r="F32" s="66"/>
      <c r="G32" s="67"/>
      <c r="H32" s="96"/>
    </row>
    <row r="33" spans="1:15" ht="15" customHeight="1" x14ac:dyDescent="0.3">
      <c r="A33" s="63" t="s">
        <v>13</v>
      </c>
      <c r="B33" s="53"/>
      <c r="C33" s="53"/>
      <c r="D33" s="53"/>
      <c r="E33" s="14"/>
      <c r="F33" s="47">
        <f>SUM(G11:G28)</f>
        <v>0</v>
      </c>
      <c r="G33" s="48"/>
      <c r="H33" s="110" t="s">
        <v>12</v>
      </c>
      <c r="O33" s="11"/>
    </row>
    <row r="34" spans="1:15" ht="15" customHeight="1" x14ac:dyDescent="0.3">
      <c r="A34" s="55"/>
      <c r="B34" s="49"/>
      <c r="C34" s="49"/>
      <c r="D34" s="49"/>
      <c r="E34" s="14"/>
      <c r="F34" s="49"/>
      <c r="G34" s="49"/>
      <c r="H34" s="96"/>
      <c r="O34" s="11"/>
    </row>
    <row r="35" spans="1:15" ht="15" customHeight="1" x14ac:dyDescent="0.25">
      <c r="A35" s="63" t="s">
        <v>14</v>
      </c>
      <c r="B35" s="53"/>
      <c r="C35" s="53"/>
      <c r="D35" s="53"/>
      <c r="E35" s="30"/>
      <c r="F35" s="30"/>
      <c r="G35" s="52">
        <f>SUM(H11:H28)</f>
        <v>0</v>
      </c>
      <c r="H35" s="54"/>
    </row>
    <row r="36" spans="1:15" ht="18.75" customHeight="1" x14ac:dyDescent="0.25">
      <c r="A36" s="55"/>
      <c r="B36" s="49"/>
      <c r="C36" s="49"/>
      <c r="D36" s="49"/>
      <c r="E36" s="29"/>
      <c r="F36" s="29"/>
      <c r="G36" s="55"/>
      <c r="H36" s="56"/>
    </row>
    <row r="37" spans="1:15" ht="15" customHeight="1" x14ac:dyDescent="0.3">
      <c r="A37" s="63" t="s">
        <v>15</v>
      </c>
      <c r="B37" s="53"/>
      <c r="C37" s="53"/>
      <c r="D37" s="18"/>
      <c r="E37" s="18"/>
      <c r="F37" s="71"/>
      <c r="G37" s="58"/>
      <c r="H37" s="19"/>
    </row>
    <row r="38" spans="1:15" ht="15" customHeight="1" x14ac:dyDescent="0.3">
      <c r="A38" s="55"/>
      <c r="B38" s="49"/>
      <c r="C38" s="49"/>
      <c r="D38" s="16"/>
      <c r="E38" s="16"/>
      <c r="F38" s="72"/>
      <c r="G38" s="72"/>
      <c r="H38" s="17"/>
    </row>
    <row r="39" spans="1:15" x14ac:dyDescent="0.25">
      <c r="A39" s="70" t="s">
        <v>16</v>
      </c>
      <c r="B39" s="42"/>
      <c r="C39" s="42"/>
      <c r="D39" s="42"/>
      <c r="E39" s="42"/>
      <c r="F39" s="42"/>
      <c r="G39" s="42"/>
      <c r="H39" s="43"/>
    </row>
    <row r="40" spans="1:15" x14ac:dyDescent="0.25">
      <c r="A40" s="44"/>
      <c r="B40" s="45"/>
      <c r="C40" s="45"/>
      <c r="D40" s="45"/>
      <c r="E40" s="45"/>
      <c r="F40" s="45"/>
      <c r="G40" s="45"/>
      <c r="H40" s="46"/>
    </row>
    <row r="41" spans="1:15" ht="11.25" customHeight="1" x14ac:dyDescent="0.25">
      <c r="A41" s="68" t="s">
        <v>17</v>
      </c>
      <c r="B41" s="42"/>
      <c r="C41" s="42"/>
      <c r="D41" s="43"/>
      <c r="E41" s="85"/>
      <c r="F41" s="86"/>
      <c r="G41" s="86"/>
      <c r="H41" s="87"/>
    </row>
    <row r="42" spans="1:15" ht="12.75" customHeight="1" x14ac:dyDescent="0.25">
      <c r="A42" s="44"/>
      <c r="B42" s="45"/>
      <c r="C42" s="45"/>
      <c r="D42" s="46"/>
      <c r="E42" s="88"/>
      <c r="F42" s="89"/>
      <c r="G42" s="89"/>
      <c r="H42" s="90"/>
    </row>
    <row r="43" spans="1:15" x14ac:dyDescent="0.25">
      <c r="A43" s="81" t="s">
        <v>18</v>
      </c>
      <c r="B43" s="53"/>
      <c r="C43" s="53"/>
      <c r="D43" s="53"/>
      <c r="E43" s="20"/>
      <c r="F43" s="20"/>
      <c r="G43" s="20"/>
      <c r="H43" s="21"/>
    </row>
    <row r="44" spans="1:15" x14ac:dyDescent="0.25">
      <c r="A44" s="82"/>
      <c r="B44" s="83"/>
      <c r="C44" s="83"/>
      <c r="D44" s="83"/>
      <c r="H44" s="22"/>
    </row>
    <row r="45" spans="1:15" ht="15.75" customHeight="1" x14ac:dyDescent="0.25">
      <c r="A45" s="55"/>
      <c r="B45" s="49"/>
      <c r="C45" s="49"/>
      <c r="D45" s="49"/>
      <c r="E45" s="23"/>
      <c r="F45" s="23"/>
      <c r="G45" s="23"/>
      <c r="H45" s="24"/>
    </row>
    <row r="46" spans="1:15" x14ac:dyDescent="0.25">
      <c r="A46" s="25"/>
    </row>
    <row r="49" spans="1:6" ht="33.75" customHeight="1" x14ac:dyDescent="0.25">
      <c r="A49" s="100"/>
      <c r="B49" s="61"/>
      <c r="C49" s="61"/>
      <c r="D49" s="61"/>
      <c r="E49" s="61"/>
      <c r="F49" s="61"/>
    </row>
    <row r="50" spans="1:6" ht="18" customHeight="1" x14ac:dyDescent="0.25">
      <c r="A50" s="91"/>
      <c r="B50" s="83"/>
    </row>
    <row r="52" spans="1:6" x14ac:dyDescent="0.25">
      <c r="D52" s="26"/>
    </row>
  </sheetData>
  <mergeCells count="44">
    <mergeCell ref="A49:F49"/>
    <mergeCell ref="B23:E23"/>
    <mergeCell ref="B17:E17"/>
    <mergeCell ref="B1:G4"/>
    <mergeCell ref="H33:H34"/>
    <mergeCell ref="B13:E13"/>
    <mergeCell ref="A8:C9"/>
    <mergeCell ref="D5:H5"/>
    <mergeCell ref="B19:E19"/>
    <mergeCell ref="B10:E10"/>
    <mergeCell ref="B28:E28"/>
    <mergeCell ref="A50:B50"/>
    <mergeCell ref="A6:C7"/>
    <mergeCell ref="B27:E27"/>
    <mergeCell ref="B18:E18"/>
    <mergeCell ref="A39:H40"/>
    <mergeCell ref="B12:E12"/>
    <mergeCell ref="A33:D34"/>
    <mergeCell ref="B21:E21"/>
    <mergeCell ref="A31:E32"/>
    <mergeCell ref="B11:E11"/>
    <mergeCell ref="A29:D30"/>
    <mergeCell ref="D6:H7"/>
    <mergeCell ref="E41:H42"/>
    <mergeCell ref="A37:C38"/>
    <mergeCell ref="B14:E14"/>
    <mergeCell ref="A35:D36"/>
    <mergeCell ref="A5:C5"/>
    <mergeCell ref="A43:D45"/>
    <mergeCell ref="B16:E16"/>
    <mergeCell ref="F29:G30"/>
    <mergeCell ref="B25:E25"/>
    <mergeCell ref="G35:H36"/>
    <mergeCell ref="B22:E22"/>
    <mergeCell ref="A41:D42"/>
    <mergeCell ref="H31:H32"/>
    <mergeCell ref="B26:E26"/>
    <mergeCell ref="F37:G38"/>
    <mergeCell ref="D8:H9"/>
    <mergeCell ref="F33:G34"/>
    <mergeCell ref="B15:E15"/>
    <mergeCell ref="F31:G32"/>
    <mergeCell ref="B24:E24"/>
    <mergeCell ref="B20:E20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Лист для коробки</vt:lpstr>
      <vt:lpstr>Лист для паллеты</vt:lpstr>
      <vt:lpstr>Лист много видов</vt:lpstr>
      <vt:lpstr>'Лист для коробки'!Область_печати</vt:lpstr>
      <vt:lpstr>'Лист для паллеты'!Область_печати</vt:lpstr>
      <vt:lpstr>'Лист много видов'!Область_печати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Upakom</dc:creator>
  <cp:lastModifiedBy>Solmir_Mech</cp:lastModifiedBy>
  <cp:lastPrinted>2025-10-15T11:05:45Z</cp:lastPrinted>
  <dcterms:created xsi:type="dcterms:W3CDTF">2025-10-14T12:10:29Z</dcterms:created>
  <dcterms:modified xsi:type="dcterms:W3CDTF">2025-11-05T08:32:09Z</dcterms:modified>
</cp:coreProperties>
</file>